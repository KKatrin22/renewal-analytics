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1\Desktop\Тест зад АНАЛИТИКА\"/>
    </mc:Choice>
  </mc:AlternateContent>
  <xr:revisionPtr revIDLastSave="0" documentId="13_ncr:1_{278F230D-6D2B-47C0-8BB8-DD9DCE396261}" xr6:coauthVersionLast="47" xr6:coauthVersionMax="47" xr10:uidLastSave="{00000000-0000-0000-0000-000000000000}"/>
  <bookViews>
    <workbookView xWindow="-108" yWindow="-108" windowWidth="23256" windowHeight="12576" tabRatio="885" activeTab="2" xr2:uid="{4AD219DC-11DD-4545-8FF6-DE3C4837BF66}"/>
  </bookViews>
  <sheets>
    <sheet name="Весь отдел" sheetId="3" r:id="rId1"/>
    <sheet name="Менеджеры за год" sheetId="4" r:id="rId2"/>
    <sheet name="Менеджеры по месяцам" sheetId="2" r:id="rId3"/>
    <sheet name="Данные для расчетов" sheetId="1" state="hidden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5" i="1" l="1"/>
  <c r="H2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6" i="1"/>
  <c r="I67" i="1"/>
  <c r="I68" i="1"/>
  <c r="I69" i="1"/>
  <c r="I70" i="1"/>
  <c r="I71" i="1"/>
  <c r="I72" i="1"/>
  <c r="I73" i="1"/>
  <c r="I74" i="1"/>
  <c r="I75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</calcChain>
</file>

<file path=xl/sharedStrings.xml><?xml version="1.0" encoding="utf-8"?>
<sst xmlns="http://schemas.openxmlformats.org/spreadsheetml/2006/main" count="259" uniqueCount="46">
  <si>
    <t>AM</t>
  </si>
  <si>
    <t>MonthKey_close</t>
  </si>
  <si>
    <t>Общий_BaseAmount</t>
  </si>
  <si>
    <t>Общий_M1Amount</t>
  </si>
  <si>
    <t>Итого_Числитель_Коэф2</t>
  </si>
  <si>
    <t>Итого_Знаменатель_Коэф2</t>
  </si>
  <si>
    <t>date</t>
  </si>
  <si>
    <t>Васильев Артем Александрович</t>
  </si>
  <si>
    <t>Ноябрь 2022</t>
  </si>
  <si>
    <t>Декабрь 2022</t>
  </si>
  <si>
    <t>Михайлов Андрей Сергеевич</t>
  </si>
  <si>
    <t>Январь 2023</t>
  </si>
  <si>
    <t>Соколова Анастасия Викторовна</t>
  </si>
  <si>
    <t>Февраль 2023</t>
  </si>
  <si>
    <t>Смирнова Ольга Владимировна</t>
  </si>
  <si>
    <t>Иванова Мария Сергеевна</t>
  </si>
  <si>
    <t>Май 2023</t>
  </si>
  <si>
    <t>Попова Екатерина Николаевна</t>
  </si>
  <si>
    <t>Март 2023</t>
  </si>
  <si>
    <t>Кузнецов Михаил Иванович</t>
  </si>
  <si>
    <t>Апрель 2023</t>
  </si>
  <si>
    <t>Июнь 2023</t>
  </si>
  <si>
    <t>Июль 2023</t>
  </si>
  <si>
    <t>Август 2023</t>
  </si>
  <si>
    <t>Сентябрь 2023</t>
  </si>
  <si>
    <t>Октябрь 2023</t>
  </si>
  <si>
    <t>Ноябрь 2023</t>
  </si>
  <si>
    <t>Петрова Анна Дмитриевна</t>
  </si>
  <si>
    <t>Декабрь 2023</t>
  </si>
  <si>
    <t>Федорова Марина Васильевна</t>
  </si>
  <si>
    <t>без А/М</t>
  </si>
  <si>
    <t>Коэффициент 1</t>
  </si>
  <si>
    <t>Коэффициент 2</t>
  </si>
  <si>
    <t xml:space="preserve"> Коэффициент 1</t>
  </si>
  <si>
    <t>Месяц</t>
  </si>
  <si>
    <t xml:space="preserve"> Коэффициент 2</t>
  </si>
  <si>
    <t>к пролонгации</t>
  </si>
  <si>
    <t xml:space="preserve">пролонгировано </t>
  </si>
  <si>
    <t xml:space="preserve">Коэффициент_1 </t>
  </si>
  <si>
    <t xml:space="preserve">Коэффициент_2 </t>
  </si>
  <si>
    <t xml:space="preserve">к пролонгации </t>
  </si>
  <si>
    <t xml:space="preserve"> пролонгировано  </t>
  </si>
  <si>
    <t>Менеджер</t>
  </si>
  <si>
    <t>Общий итог</t>
  </si>
  <si>
    <t>Пролонгация 2-го месяца</t>
  </si>
  <si>
    <t>Пролонгация 1-го месяца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</si>
</sst>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\-#,##0.00\ "/>
  </numFmts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C66"/>
        <bgColor indexed="64"/>
      </patternFill>
    </fill>
  </fills>
  <borders count="24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/>
      <top style="thin">
        <color indexed="64"/>
      </top>
      <bottom/>
      <diagonal/>
    </border>
    <border>
      <left style="thin">
        <color indexed="65"/>
      </left>
      <right/>
      <top style="thin">
        <color indexed="64"/>
      </top>
      <bottom/>
      <diagonal/>
    </border>
    <border>
      <left style="thin">
        <color indexed="65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999999"/>
      </top>
      <bottom/>
      <diagonal/>
    </border>
    <border>
      <left/>
      <right style="thin">
        <color indexed="64"/>
      </right>
      <top style="thin">
        <color rgb="FF99999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8">
    <xf numFmtId="0" fontId="0" fillId="0" borderId="0" xfId="0"/>
    <xf numFmtId="0" fontId="3" fillId="0" borderId="0" xfId="0" applyFont="1"/>
    <xf numFmtId="1" fontId="3" fillId="0" borderId="0" xfId="0" applyNumberFormat="1" applyFont="1"/>
    <xf numFmtId="9" fontId="0" fillId="0" borderId="0" xfId="1" applyFont="1"/>
    <xf numFmtId="164" fontId="0" fillId="0" borderId="0" xfId="0" applyNumberFormat="1"/>
    <xf numFmtId="0" fontId="2" fillId="0" borderId="0" xfId="0" applyFont="1"/>
    <xf numFmtId="0" fontId="8" fillId="0" borderId="0" xfId="0" applyFont="1"/>
    <xf numFmtId="0" fontId="0" fillId="0" borderId="7" xfId="0" applyBorder="1" applyAlignment="1">
      <alignment horizontal="left"/>
    </xf>
    <xf numFmtId="164" fontId="0" fillId="0" borderId="8" xfId="0" applyNumberFormat="1" applyBorder="1"/>
    <xf numFmtId="164" fontId="0" fillId="0" borderId="5" xfId="0" applyNumberFormat="1" applyBorder="1"/>
    <xf numFmtId="164" fontId="0" fillId="0" borderId="7" xfId="0" applyNumberFormat="1" applyBorder="1"/>
    <xf numFmtId="0" fontId="6" fillId="3" borderId="2" xfId="0" applyFont="1" applyFill="1" applyBorder="1"/>
    <xf numFmtId="9" fontId="4" fillId="2" borderId="6" xfId="0" applyNumberFormat="1" applyFont="1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6" xfId="0" applyFill="1" applyBorder="1"/>
    <xf numFmtId="9" fontId="0" fillId="0" borderId="6" xfId="0" applyNumberFormat="1" applyBorder="1"/>
    <xf numFmtId="9" fontId="0" fillId="0" borderId="8" xfId="0" applyNumberFormat="1" applyBorder="1"/>
    <xf numFmtId="9" fontId="0" fillId="0" borderId="9" xfId="0" applyNumberFormat="1" applyBorder="1"/>
    <xf numFmtId="0" fontId="4" fillId="2" borderId="10" xfId="0" applyFont="1" applyFill="1" applyBorder="1" applyAlignment="1">
      <alignment horizontal="left"/>
    </xf>
    <xf numFmtId="0" fontId="4" fillId="2" borderId="11" xfId="0" applyFont="1" applyFill="1" applyBorder="1" applyAlignment="1">
      <alignment horizontal="left"/>
    </xf>
    <xf numFmtId="0" fontId="0" fillId="3" borderId="10" xfId="0" applyFill="1" applyBorder="1"/>
    <xf numFmtId="0" fontId="0" fillId="3" borderId="11" xfId="0" applyFill="1" applyBorder="1"/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9" fontId="4" fillId="2" borderId="1" xfId="0" applyNumberFormat="1" applyFont="1" applyFill="1" applyBorder="1"/>
    <xf numFmtId="9" fontId="4" fillId="2" borderId="13" xfId="0" applyNumberFormat="1" applyFont="1" applyFill="1" applyBorder="1"/>
    <xf numFmtId="9" fontId="4" fillId="2" borderId="14" xfId="0" applyNumberFormat="1" applyFont="1" applyFill="1" applyBorder="1"/>
    <xf numFmtId="9" fontId="4" fillId="2" borderId="19" xfId="0" applyNumberFormat="1" applyFont="1" applyFill="1" applyBorder="1"/>
    <xf numFmtId="0" fontId="5" fillId="3" borderId="2" xfId="0" applyFont="1" applyFill="1" applyBorder="1"/>
    <xf numFmtId="0" fontId="5" fillId="3" borderId="15" xfId="0" applyFont="1" applyFill="1" applyBorder="1"/>
    <xf numFmtId="0" fontId="5" fillId="3" borderId="16" xfId="0" applyFont="1" applyFill="1" applyBorder="1"/>
    <xf numFmtId="0" fontId="5" fillId="3" borderId="17" xfId="0" applyFont="1" applyFill="1" applyBorder="1"/>
    <xf numFmtId="0" fontId="5" fillId="0" borderId="0" xfId="0" applyFont="1"/>
    <xf numFmtId="0" fontId="5" fillId="3" borderId="18" xfId="0" applyFont="1" applyFill="1" applyBorder="1"/>
    <xf numFmtId="0" fontId="5" fillId="3" borderId="1" xfId="0" applyFont="1" applyFill="1" applyBorder="1"/>
    <xf numFmtId="0" fontId="5" fillId="3" borderId="13" xfId="0" applyFont="1" applyFill="1" applyBorder="1"/>
    <xf numFmtId="0" fontId="5" fillId="3" borderId="19" xfId="0" applyFont="1" applyFill="1" applyBorder="1"/>
    <xf numFmtId="164" fontId="0" fillId="0" borderId="2" xfId="0" applyNumberFormat="1" applyBorder="1"/>
    <xf numFmtId="164" fontId="0" fillId="0" borderId="3" xfId="0" applyNumberFormat="1" applyBorder="1"/>
    <xf numFmtId="0" fontId="0" fillId="0" borderId="10" xfId="0" applyBorder="1" applyAlignment="1">
      <alignment horizontal="left"/>
    </xf>
    <xf numFmtId="0" fontId="5" fillId="3" borderId="20" xfId="0" applyFont="1" applyFill="1" applyBorder="1"/>
    <xf numFmtId="164" fontId="5" fillId="3" borderId="21" xfId="0" applyNumberFormat="1" applyFont="1" applyFill="1" applyBorder="1" applyAlignment="1">
      <alignment horizontal="center"/>
    </xf>
    <xf numFmtId="164" fontId="5" fillId="3" borderId="22" xfId="0" applyNumberFormat="1" applyFont="1" applyFill="1" applyBorder="1" applyAlignment="1">
      <alignment horizontal="center"/>
    </xf>
    <xf numFmtId="9" fontId="0" fillId="0" borderId="11" xfId="0" applyNumberFormat="1" applyBorder="1" applyAlignment="1">
      <alignment horizontal="left"/>
    </xf>
    <xf numFmtId="10" fontId="5" fillId="3" borderId="22" xfId="1" applyNumberFormat="1" applyFont="1" applyFill="1" applyBorder="1" applyAlignment="1">
      <alignment horizontal="center"/>
    </xf>
    <xf numFmtId="10" fontId="0" fillId="0" borderId="3" xfId="1" applyNumberFormat="1" applyFont="1" applyBorder="1"/>
    <xf numFmtId="10" fontId="0" fillId="0" borderId="0" xfId="1" applyNumberFormat="1" applyFont="1" applyBorder="1"/>
    <xf numFmtId="10" fontId="0" fillId="0" borderId="8" xfId="1" applyNumberFormat="1" applyFont="1" applyBorder="1"/>
    <xf numFmtId="10" fontId="0" fillId="0" borderId="0" xfId="1" applyNumberFormat="1" applyFont="1"/>
    <xf numFmtId="10" fontId="5" fillId="3" borderId="23" xfId="1" applyNumberFormat="1" applyFont="1" applyFill="1" applyBorder="1" applyAlignment="1">
      <alignment horizontal="center"/>
    </xf>
    <xf numFmtId="10" fontId="0" fillId="0" borderId="4" xfId="1" applyNumberFormat="1" applyFont="1" applyBorder="1"/>
    <xf numFmtId="10" fontId="0" fillId="0" borderId="6" xfId="1" applyNumberFormat="1" applyFont="1" applyBorder="1"/>
    <xf numFmtId="10" fontId="0" fillId="0" borderId="9" xfId="1" applyNumberFormat="1" applyFont="1" applyBorder="1"/>
    <xf numFmtId="10" fontId="5" fillId="3" borderId="23" xfId="0" applyNumberFormat="1" applyFont="1" applyFill="1" applyBorder="1" applyAlignment="1">
      <alignment horizontal="center"/>
    </xf>
    <xf numFmtId="10" fontId="0" fillId="0" borderId="4" xfId="0" applyNumberFormat="1" applyBorder="1"/>
    <xf numFmtId="10" fontId="0" fillId="0" borderId="6" xfId="0" applyNumberFormat="1" applyBorder="1"/>
    <xf numFmtId="10" fontId="0" fillId="0" borderId="9" xfId="0" applyNumberFormat="1" applyBorder="1"/>
    <xf numFmtId="9" fontId="0" fillId="0" borderId="0" xfId="0" applyNumberFormat="1"/>
    <xf numFmtId="9" fontId="4" fillId="2" borderId="0" xfId="0" applyNumberFormat="1" applyFont="1" applyFill="1"/>
    <xf numFmtId="9" fontId="5" fillId="2" borderId="8" xfId="0" applyNumberFormat="1" applyFont="1" applyFill="1" applyBorder="1"/>
    <xf numFmtId="9" fontId="5" fillId="2" borderId="9" xfId="0" applyNumberFormat="1" applyFont="1" applyFill="1" applyBorder="1"/>
    <xf numFmtId="0" fontId="0" fillId="3" borderId="0" xfId="0" applyFill="1"/>
    <xf numFmtId="0" fontId="0" fillId="2" borderId="20" xfId="0" applyFill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7" fillId="3" borderId="2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</cellXfs>
  <cellStyles count="2">
    <cellStyle name="Обычный" xfId="0" builtinId="0"/>
    <cellStyle name="Процентный" xfId="1" builtinId="5"/>
  </cellStyles>
  <dxfs count="1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fill>
        <patternFill patternType="solid">
          <fgColor indexed="64"/>
          <bgColor rgb="FFFFCC66"/>
        </patternFill>
      </fill>
    </dxf>
    <dxf>
      <fill>
        <patternFill patternType="solid">
          <bgColor theme="0"/>
        </patternFill>
      </fill>
    </dxf>
    <dxf>
      <border>
        <right style="thin">
          <color indexed="64"/>
        </right>
        <top style="thin">
          <color indexed="64"/>
        </top>
      </border>
    </dxf>
    <dxf>
      <font>
        <b val="0"/>
      </font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rgb="FFFFCC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rgb="FFFFCC66"/>
        </patternFill>
      </fill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  <top style="thin">
          <color indexed="64"/>
        </top>
      </border>
    </dxf>
    <dxf>
      <font>
        <b/>
        <color auto="1"/>
      </font>
      <fill>
        <patternFill patternType="solid">
          <fgColor indexed="64"/>
          <bgColor rgb="FFFFCC66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</font>
    </dxf>
    <dxf>
      <border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 val="0"/>
      </font>
    </dxf>
    <dxf>
      <font>
        <b val="0"/>
      </font>
    </dxf>
    <dxf>
      <font>
        <color auto="1"/>
      </font>
    </dxf>
    <dxf>
      <font>
        <color auto="1"/>
      </font>
    </dxf>
    <dxf>
      <border>
        <vertical/>
        <horizontal/>
      </border>
    </dxf>
    <dxf>
      <border>
        <vertical/>
        <horizontal/>
      </border>
    </dxf>
    <dxf>
      <fill>
        <patternFill patternType="solid">
          <bgColor rgb="FFFFCC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rgb="FFFFCC66"/>
        </patternFill>
      </fill>
    </dxf>
    <dxf>
      <fill>
        <patternFill patternType="solid">
          <bgColor rgb="FFFFCC66"/>
        </patternFill>
      </fill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</dxf>
    <dxf>
      <font>
        <color auto="1"/>
      </font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ont>
        <b/>
      </font>
    </dxf>
    <dxf>
      <font>
        <b/>
      </font>
    </dxf>
    <dxf>
      <numFmt numFmtId="164" formatCode="#,##0.00_ ;\-#,##0.00\ "/>
    </dxf>
    <dxf>
      <numFmt numFmtId="164" formatCode="#,##0.00_ ;\-#,##0.00\ "/>
    </dxf>
    <dxf>
      <numFmt numFmtId="164" formatCode="#,##0.00_ ;\-#,##0.00\ "/>
    </dxf>
    <dxf>
      <numFmt numFmtId="164" formatCode="#,##0.00_ ;\-#,##0.00\ "/>
    </dxf>
    <dxf>
      <numFmt numFmtId="164" formatCode="#,##0.00_ ;\-#,##0.00\ "/>
    </dxf>
    <dxf>
      <numFmt numFmtId="164" formatCode="#,##0.00_ ;\-#,##0.00\ "/>
    </dxf>
    <dxf>
      <numFmt numFmtId="164" formatCode="#,##0.00_ ;\-#,##0.00\ "/>
    </dxf>
    <dxf>
      <numFmt numFmtId="164" formatCode="#,##0.00_ ;\-#,##0.00\ "/>
    </dxf>
    <dxf>
      <alignment horizontal="center"/>
    </dxf>
    <dxf>
      <font>
        <color auto="1"/>
      </font>
    </dxf>
    <dxf>
      <font>
        <color auto="1"/>
      </font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alignment horizontal="right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3" formatCode="0%"/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</dxf>
    <dxf>
      <font>
        <b/>
      </font>
    </dxf>
    <dxf>
      <numFmt numFmtId="164" formatCode="#,##0.00_ ;\-#,##0.00\ "/>
    </dxf>
    <dxf>
      <numFmt numFmtId="164" formatCode="#,##0.00_ ;\-#,##0.00\ "/>
    </dxf>
    <dxf>
      <numFmt numFmtId="164" formatCode="#,##0.00_ ;\-#,##0.00\ "/>
    </dxf>
    <dxf>
      <numFmt numFmtId="164" formatCode="#,##0.00_ ;\-#,##0.00\ "/>
    </dxf>
    <dxf>
      <numFmt numFmtId="164" formatCode="#,##0.00_ ;\-#,##0.00\ "/>
    </dxf>
    <dxf>
      <numFmt numFmtId="164" formatCode="#,##0.00_ ;\-#,##0.00\ "/>
    </dxf>
    <dxf>
      <numFmt numFmtId="164" formatCode="#,##0.00_ ;\-#,##0.00\ "/>
    </dxf>
    <dxf>
      <numFmt numFmtId="164" formatCode="#,##0.00_ ;\-#,##0.00\ "/>
    </dxf>
    <dxf>
      <alignment horizontal="center"/>
    </dxf>
    <dxf>
      <font>
        <color auto="1"/>
      </font>
    </dxf>
    <dxf>
      <font>
        <color auto="1"/>
      </font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alignment horizontal="right"/>
    </dxf>
  </dxfs>
  <tableStyles count="0" defaultTableStyle="TableStyleMedium2" defaultPivotStyle="PivotStyleLight16"/>
  <colors>
    <mruColors>
      <color rgb="FFC6EFCE"/>
      <color rgb="FFFFEB9C"/>
      <color rgb="FFFFC7CE"/>
      <color rgb="FFE2EFDA"/>
      <color rgb="FFFFF2CC"/>
      <color rgb="FFFCE4D6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1" refreshedDate="46183.581518402774" createdVersion="8" refreshedVersion="8" minRefreshableVersion="3" recordCount="74" xr:uid="{6B6F1CDF-3E4E-4675-9187-9A9DD7F452E0}">
  <cacheSource type="worksheet">
    <worksheetSource ref="A1:I75" sheet="Данные для расчетов"/>
  </cacheSource>
  <cacheFields count="11">
    <cacheField name="AM" numFmtId="0">
      <sharedItems count="10">
        <s v="Васильев Артем Александрович"/>
        <s v="Михайлов Андрей Сергеевич"/>
        <s v="Соколова Анастасия Викторовна"/>
        <s v="Смирнова Ольга Владимировна"/>
        <s v="Иванова Мария Сергеевна"/>
        <s v="Попова Екатерина Николаевна"/>
        <s v="Кузнецов Михаил Иванович"/>
        <s v="Петрова Анна Дмитриевна"/>
        <s v="Федорова Марина Васильевна"/>
        <s v="без А/М"/>
      </sharedItems>
    </cacheField>
    <cacheField name="MonthKey_close" numFmtId="1">
      <sharedItems containsSemiMixedTypes="0" containsString="0" containsNumber="1" containsInteger="1" minValue="202211" maxValue="202312" count="14">
        <n v="202211"/>
        <n v="202212"/>
        <n v="202301"/>
        <n v="202302"/>
        <n v="202305"/>
        <n v="202303"/>
        <n v="202304"/>
        <n v="202306"/>
        <n v="202307"/>
        <n v="202308"/>
        <n v="202309"/>
        <n v="202310"/>
        <n v="202311"/>
        <n v="202312"/>
      </sharedItems>
    </cacheField>
    <cacheField name="Общий_BaseAmount" numFmtId="0">
      <sharedItems containsSemiMixedTypes="0" containsString="0" containsNumber="1" minValue="0" maxValue="2751296.96"/>
    </cacheField>
    <cacheField name="Общий_M1Amount" numFmtId="0">
      <sharedItems containsSemiMixedTypes="0" containsString="0" containsNumber="1" minValue="0" maxValue="1362962.33"/>
    </cacheField>
    <cacheField name="Итого_Числитель_Коэф2" numFmtId="0">
      <sharedItems containsSemiMixedTypes="0" containsString="0" containsNumber="1" minValue="0" maxValue="163359"/>
    </cacheField>
    <cacheField name="Итого_Знаменатель_Коэф2" numFmtId="0">
      <sharedItems containsSemiMixedTypes="0" containsString="0" containsNumber="1" minValue="0" maxValue="1278796"/>
    </cacheField>
    <cacheField name="date" numFmtId="0">
      <sharedItems count="14">
        <s v="Ноябрь 2022"/>
        <s v="Декабрь 2022"/>
        <s v="Январь 2023"/>
        <s v="Февраль 2023"/>
        <s v="Май 2023"/>
        <s v="Март 2023"/>
        <s v="Апрель 2023"/>
        <s v="Июнь 2023"/>
        <s v="Июль 2023"/>
        <s v="Август 2023"/>
        <s v="Сентябрь 2023"/>
        <s v="Октябрь 2023"/>
        <s v="Ноябрь 2023"/>
        <s v="Декабрь 2023"/>
      </sharedItems>
    </cacheField>
    <cacheField name="Коэффициент 1" numFmtId="9">
      <sharedItems containsSemiMixedTypes="0" containsString="0" containsNumber="1" minValue="0" maxValue="1.1111818218738578" count="28">
        <n v="0"/>
        <n v="1"/>
        <n v="0.17218064861936491"/>
        <n v="0.52541051587187571"/>
        <n v="0.15967301074170054"/>
        <n v="0.61755894229516739"/>
        <n v="7.9270330929755023E-2"/>
        <n v="0.38030979056784636"/>
        <n v="0.30895287208136368"/>
        <n v="0.29702970297029702"/>
        <n v="0.24762178085098541"/>
        <n v="0.54517596268743018"/>
        <n v="0.76150987421916061"/>
        <n v="1.0504796463590549"/>
        <n v="1.0275181473057404"/>
        <n v="0.27059053578412201"/>
        <n v="0.27401166435505364"/>
        <n v="0.2040383983001543"/>
        <n v="0.60012382805589948"/>
        <n v="0.79106148159716805"/>
        <n v="0.32406316285646947"/>
        <n v="1.1111818218738578"/>
        <n v="0.40341981905119889"/>
        <n v="0.78552895731497585"/>
        <n v="0.65793350623379054"/>
        <n v="0.49538902917989636"/>
        <n v="0.40707648656146272"/>
        <n v="0.41258947259339779"/>
      </sharedItems>
    </cacheField>
    <cacheField name="Коэффициент 2" numFmtId="9">
      <sharedItems containsSemiMixedTypes="0" containsString="0" containsNumber="1" minValue="0" maxValue="1.1505208333333334"/>
    </cacheField>
    <cacheField name="Коэффициент_1" numFmtId="0" formula="Общий_M1Amount/Общий_BaseAmount" databaseField="0"/>
    <cacheField name="Коэффициент_2" numFmtId="0" formula="Итого_Числитель_Коэф2/Итого_Знаменатель_Коэф2" databaseField="0"/>
  </cacheFields>
  <extLst>
    <ext xmlns:x14="http://schemas.microsoft.com/office/spreadsheetml/2009/9/main" uri="{725AE2AE-9491-48be-B2B4-4EB974FC3084}">
      <x14:pivotCacheDefinition pivotCacheId="90449071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">
  <r>
    <x v="0"/>
    <x v="0"/>
    <n v="260862"/>
    <n v="0"/>
    <n v="0"/>
    <n v="260862"/>
    <x v="0"/>
    <x v="0"/>
    <n v="0"/>
  </r>
  <r>
    <x v="0"/>
    <x v="1"/>
    <n v="217965"/>
    <n v="0"/>
    <n v="44775"/>
    <n v="217965"/>
    <x v="1"/>
    <x v="0"/>
    <n v="0.20542288899593972"/>
  </r>
  <r>
    <x v="1"/>
    <x v="2"/>
    <n v="674000"/>
    <n v="674000"/>
    <n v="0"/>
    <n v="0"/>
    <x v="2"/>
    <x v="1"/>
    <n v="0"/>
  </r>
  <r>
    <x v="2"/>
    <x v="1"/>
    <n v="487162.76"/>
    <n v="83880"/>
    <n v="46995"/>
    <n v="398312.76"/>
    <x v="1"/>
    <x v="2"/>
    <n v="0.11798517325932516"/>
  </r>
  <r>
    <x v="0"/>
    <x v="3"/>
    <n v="324580"/>
    <n v="0"/>
    <n v="0"/>
    <n v="324580"/>
    <x v="3"/>
    <x v="0"/>
    <n v="0"/>
  </r>
  <r>
    <x v="3"/>
    <x v="2"/>
    <n v="48000"/>
    <n v="0"/>
    <n v="55225"/>
    <n v="48000"/>
    <x v="2"/>
    <x v="0"/>
    <n v="1.1505208333333334"/>
  </r>
  <r>
    <x v="2"/>
    <x v="2"/>
    <n v="261043.5"/>
    <n v="137155"/>
    <n v="0"/>
    <n v="99958.5"/>
    <x v="2"/>
    <x v="3"/>
    <n v="0"/>
  </r>
  <r>
    <x v="4"/>
    <x v="1"/>
    <n v="1525565.71"/>
    <n v="243591.67"/>
    <n v="0"/>
    <n v="1229435"/>
    <x v="1"/>
    <x v="4"/>
    <n v="0"/>
  </r>
  <r>
    <x v="3"/>
    <x v="4"/>
    <n v="134394.35"/>
    <n v="0"/>
    <n v="69385"/>
    <n v="134394.35"/>
    <x v="4"/>
    <x v="0"/>
    <n v="0.51627914417533172"/>
  </r>
  <r>
    <x v="2"/>
    <x v="0"/>
    <n v="38045"/>
    <n v="0"/>
    <n v="0"/>
    <n v="38045"/>
    <x v="0"/>
    <x v="0"/>
    <n v="0"/>
  </r>
  <r>
    <x v="5"/>
    <x v="0"/>
    <n v="82800"/>
    <n v="0"/>
    <n v="0"/>
    <n v="82800"/>
    <x v="0"/>
    <x v="0"/>
    <n v="0"/>
  </r>
  <r>
    <x v="2"/>
    <x v="3"/>
    <n v="42830"/>
    <n v="0"/>
    <n v="0"/>
    <n v="42830"/>
    <x v="3"/>
    <x v="0"/>
    <n v="0"/>
  </r>
  <r>
    <x v="1"/>
    <x v="0"/>
    <n v="41025"/>
    <n v="0"/>
    <n v="0"/>
    <n v="41025"/>
    <x v="0"/>
    <x v="0"/>
    <n v="0"/>
  </r>
  <r>
    <x v="5"/>
    <x v="1"/>
    <n v="137125"/>
    <n v="0"/>
    <n v="0"/>
    <n v="137125"/>
    <x v="1"/>
    <x v="0"/>
    <n v="0"/>
  </r>
  <r>
    <x v="1"/>
    <x v="1"/>
    <n v="147140"/>
    <n v="0"/>
    <n v="0"/>
    <n v="147140"/>
    <x v="1"/>
    <x v="0"/>
    <n v="0"/>
  </r>
  <r>
    <x v="3"/>
    <x v="1"/>
    <n v="38295"/>
    <n v="0"/>
    <n v="0"/>
    <n v="38295"/>
    <x v="1"/>
    <x v="0"/>
    <n v="0"/>
  </r>
  <r>
    <x v="0"/>
    <x v="2"/>
    <n v="60900"/>
    <n v="0"/>
    <n v="0"/>
    <n v="60900"/>
    <x v="2"/>
    <x v="0"/>
    <n v="0"/>
  </r>
  <r>
    <x v="0"/>
    <x v="5"/>
    <n v="333583"/>
    <n v="0"/>
    <n v="0"/>
    <n v="333583"/>
    <x v="5"/>
    <x v="0"/>
    <n v="0"/>
  </r>
  <r>
    <x v="5"/>
    <x v="2"/>
    <n v="193877"/>
    <n v="0"/>
    <n v="0"/>
    <n v="193877"/>
    <x v="2"/>
    <x v="0"/>
    <n v="0"/>
  </r>
  <r>
    <x v="5"/>
    <x v="3"/>
    <n v="78065"/>
    <n v="0"/>
    <n v="0"/>
    <n v="78065"/>
    <x v="3"/>
    <x v="0"/>
    <n v="0"/>
  </r>
  <r>
    <x v="4"/>
    <x v="3"/>
    <n v="127200"/>
    <n v="0"/>
    <n v="0"/>
    <n v="127200"/>
    <x v="3"/>
    <x v="0"/>
    <n v="0"/>
  </r>
  <r>
    <x v="5"/>
    <x v="5"/>
    <n v="261895"/>
    <n v="0"/>
    <n v="0"/>
    <n v="261895"/>
    <x v="5"/>
    <x v="0"/>
    <n v="0"/>
  </r>
  <r>
    <x v="2"/>
    <x v="5"/>
    <n v="49795"/>
    <n v="0"/>
    <n v="0"/>
    <n v="49795"/>
    <x v="5"/>
    <x v="0"/>
    <n v="0"/>
  </r>
  <r>
    <x v="4"/>
    <x v="5"/>
    <n v="478740"/>
    <n v="0"/>
    <n v="0"/>
    <n v="478740"/>
    <x v="5"/>
    <x v="0"/>
    <n v="0"/>
  </r>
  <r>
    <x v="6"/>
    <x v="5"/>
    <n v="1425"/>
    <n v="0"/>
    <n v="0"/>
    <n v="1425"/>
    <x v="5"/>
    <x v="0"/>
    <n v="0"/>
  </r>
  <r>
    <x v="5"/>
    <x v="6"/>
    <n v="131860"/>
    <n v="0"/>
    <n v="0"/>
    <n v="131860"/>
    <x v="6"/>
    <x v="0"/>
    <n v="0"/>
  </r>
  <r>
    <x v="0"/>
    <x v="6"/>
    <n v="599850"/>
    <n v="0"/>
    <n v="0"/>
    <n v="599850"/>
    <x v="6"/>
    <x v="0"/>
    <n v="0"/>
  </r>
  <r>
    <x v="2"/>
    <x v="6"/>
    <n v="205000"/>
    <n v="0"/>
    <n v="0"/>
    <n v="205000"/>
    <x v="6"/>
    <x v="0"/>
    <n v="0"/>
  </r>
  <r>
    <x v="0"/>
    <x v="4"/>
    <n v="230686"/>
    <n v="0"/>
    <n v="0"/>
    <n v="230686"/>
    <x v="4"/>
    <x v="0"/>
    <n v="0"/>
  </r>
  <r>
    <x v="5"/>
    <x v="4"/>
    <n v="76910"/>
    <n v="0"/>
    <n v="0"/>
    <n v="76910"/>
    <x v="4"/>
    <x v="0"/>
    <n v="0"/>
  </r>
  <r>
    <x v="4"/>
    <x v="4"/>
    <n v="306830"/>
    <n v="0"/>
    <n v="0"/>
    <n v="306830"/>
    <x v="4"/>
    <x v="0"/>
    <n v="0"/>
  </r>
  <r>
    <x v="2"/>
    <x v="4"/>
    <n v="74580"/>
    <n v="0"/>
    <n v="0"/>
    <n v="74580"/>
    <x v="4"/>
    <x v="0"/>
    <n v="0"/>
  </r>
  <r>
    <x v="1"/>
    <x v="4"/>
    <n v="196925.18"/>
    <n v="0"/>
    <n v="0"/>
    <n v="196925.18"/>
    <x v="4"/>
    <x v="0"/>
    <n v="0"/>
  </r>
  <r>
    <x v="4"/>
    <x v="7"/>
    <n v="198302.25"/>
    <n v="0"/>
    <n v="0"/>
    <n v="198302.25"/>
    <x v="7"/>
    <x v="0"/>
    <n v="0"/>
  </r>
  <r>
    <x v="0"/>
    <x v="7"/>
    <n v="417657.59999999998"/>
    <n v="0"/>
    <n v="0"/>
    <n v="417657.59999999998"/>
    <x v="7"/>
    <x v="0"/>
    <n v="0"/>
  </r>
  <r>
    <x v="1"/>
    <x v="7"/>
    <n v="153540"/>
    <n v="94820"/>
    <n v="0"/>
    <n v="74360"/>
    <x v="7"/>
    <x v="5"/>
    <n v="0"/>
  </r>
  <r>
    <x v="5"/>
    <x v="7"/>
    <n v="276495"/>
    <n v="0"/>
    <n v="0"/>
    <n v="276495"/>
    <x v="7"/>
    <x v="0"/>
    <n v="0"/>
  </r>
  <r>
    <x v="2"/>
    <x v="7"/>
    <n v="523525"/>
    <n v="41500"/>
    <n v="0"/>
    <n v="452000"/>
    <x v="7"/>
    <x v="6"/>
    <n v="0"/>
  </r>
  <r>
    <x v="3"/>
    <x v="7"/>
    <n v="0"/>
    <n v="0"/>
    <n v="0"/>
    <n v="0"/>
    <x v="7"/>
    <x v="0"/>
    <n v="0"/>
  </r>
  <r>
    <x v="4"/>
    <x v="8"/>
    <n v="245888.7"/>
    <n v="93513.88"/>
    <n v="0"/>
    <n v="38632.5"/>
    <x v="8"/>
    <x v="7"/>
    <n v="0"/>
  </r>
  <r>
    <x v="5"/>
    <x v="8"/>
    <n v="174525"/>
    <n v="53920"/>
    <n v="0"/>
    <n v="121555"/>
    <x v="8"/>
    <x v="8"/>
    <n v="0"/>
  </r>
  <r>
    <x v="0"/>
    <x v="8"/>
    <n v="454500"/>
    <n v="135000"/>
    <n v="0"/>
    <n v="274500"/>
    <x v="8"/>
    <x v="9"/>
    <n v="0"/>
  </r>
  <r>
    <x v="2"/>
    <x v="8"/>
    <n v="139642.13"/>
    <n v="0"/>
    <n v="0"/>
    <n v="139642.13"/>
    <x v="8"/>
    <x v="0"/>
    <n v="0"/>
  </r>
  <r>
    <x v="3"/>
    <x v="8"/>
    <n v="110000"/>
    <n v="0"/>
    <n v="0"/>
    <n v="110000"/>
    <x v="8"/>
    <x v="0"/>
    <n v="0"/>
  </r>
  <r>
    <x v="2"/>
    <x v="9"/>
    <n v="398551.37"/>
    <n v="98690"/>
    <n v="0"/>
    <n v="329486.37"/>
    <x v="9"/>
    <x v="10"/>
    <n v="0"/>
  </r>
  <r>
    <x v="0"/>
    <x v="9"/>
    <n v="987965"/>
    <n v="0"/>
    <n v="0"/>
    <n v="987965"/>
    <x v="9"/>
    <x v="0"/>
    <n v="0"/>
  </r>
  <r>
    <x v="5"/>
    <x v="9"/>
    <n v="262750"/>
    <n v="0"/>
    <n v="163359"/>
    <n v="262750"/>
    <x v="9"/>
    <x v="0"/>
    <n v="0.62172787821122744"/>
  </r>
  <r>
    <x v="3"/>
    <x v="9"/>
    <n v="259430"/>
    <n v="141435"/>
    <n v="0"/>
    <n v="121930"/>
    <x v="9"/>
    <x v="11"/>
    <n v="0"/>
  </r>
  <r>
    <x v="1"/>
    <x v="9"/>
    <n v="333853.75"/>
    <n v="0"/>
    <n v="0"/>
    <n v="333853.75"/>
    <x v="9"/>
    <x v="0"/>
    <n v="0"/>
  </r>
  <r>
    <x v="4"/>
    <x v="9"/>
    <n v="74795"/>
    <n v="74795"/>
    <n v="0"/>
    <n v="0"/>
    <x v="9"/>
    <x v="1"/>
    <n v="0"/>
  </r>
  <r>
    <x v="5"/>
    <x v="10"/>
    <n v="498268.26"/>
    <n v="379436.2"/>
    <n v="21400"/>
    <n v="112728.26"/>
    <x v="10"/>
    <x v="12"/>
    <n v="0.18983704707231355"/>
  </r>
  <r>
    <x v="3"/>
    <x v="10"/>
    <n v="986695.7"/>
    <n v="1036503.75"/>
    <n v="0"/>
    <n v="178271.45"/>
    <x v="10"/>
    <x v="13"/>
    <n v="0"/>
  </r>
  <r>
    <x v="2"/>
    <x v="10"/>
    <n v="292147.21999999997"/>
    <n v="0"/>
    <n v="0"/>
    <n v="292147.21999999997"/>
    <x v="10"/>
    <x v="0"/>
    <n v="0"/>
  </r>
  <r>
    <x v="0"/>
    <x v="10"/>
    <n v="210185"/>
    <n v="0"/>
    <n v="0"/>
    <n v="210185"/>
    <x v="10"/>
    <x v="0"/>
    <n v="0"/>
  </r>
  <r>
    <x v="1"/>
    <x v="10"/>
    <n v="337060.75"/>
    <n v="0"/>
    <n v="0"/>
    <n v="337060.75"/>
    <x v="10"/>
    <x v="0"/>
    <n v="0"/>
  </r>
  <r>
    <x v="6"/>
    <x v="11"/>
    <n v="85526.47"/>
    <n v="87880"/>
    <n v="0"/>
    <n v="0"/>
    <x v="11"/>
    <x v="14"/>
    <n v="0"/>
  </r>
  <r>
    <x v="0"/>
    <x v="11"/>
    <n v="180547.5"/>
    <n v="0"/>
    <n v="87540"/>
    <n v="180547.5"/>
    <x v="11"/>
    <x v="0"/>
    <n v="0.48485855522784865"/>
  </r>
  <r>
    <x v="2"/>
    <x v="11"/>
    <n v="255700"/>
    <n v="69190"/>
    <n v="0"/>
    <n v="190000"/>
    <x v="11"/>
    <x v="15"/>
    <n v="0"/>
  </r>
  <r>
    <x v="3"/>
    <x v="11"/>
    <n v="41315"/>
    <n v="0"/>
    <n v="0"/>
    <n v="41315"/>
    <x v="11"/>
    <x v="0"/>
    <n v="0"/>
  </r>
  <r>
    <x v="1"/>
    <x v="12"/>
    <n v="50640"/>
    <n v="0"/>
    <n v="0"/>
    <n v="50640"/>
    <x v="12"/>
    <x v="0"/>
    <n v="0"/>
  </r>
  <r>
    <x v="6"/>
    <x v="12"/>
    <n v="488381.91"/>
    <n v="133822.34"/>
    <n v="0"/>
    <n v="359896.06"/>
    <x v="12"/>
    <x v="16"/>
    <n v="0"/>
  </r>
  <r>
    <x v="3"/>
    <x v="12"/>
    <n v="474396"/>
    <n v="96795"/>
    <n v="45175.5"/>
    <n v="194416"/>
    <x v="12"/>
    <x v="17"/>
    <n v="0.23236513455682659"/>
  </r>
  <r>
    <x v="5"/>
    <x v="12"/>
    <n v="113060"/>
    <n v="67850"/>
    <n v="41050"/>
    <n v="45205"/>
    <x v="12"/>
    <x v="18"/>
    <n v="0.90808538878442646"/>
  </r>
  <r>
    <x v="2"/>
    <x v="12"/>
    <n v="960450"/>
    <n v="759775"/>
    <n v="0"/>
    <n v="103070"/>
    <x v="12"/>
    <x v="19"/>
    <n v="0"/>
  </r>
  <r>
    <x v="0"/>
    <x v="12"/>
    <n v="169720"/>
    <n v="55000"/>
    <n v="0"/>
    <n v="108720"/>
    <x v="12"/>
    <x v="20"/>
    <n v="0"/>
  </r>
  <r>
    <x v="7"/>
    <x v="12"/>
    <n v="98492"/>
    <n v="109442.52"/>
    <n v="0"/>
    <n v="0"/>
    <x v="12"/>
    <x v="21"/>
    <n v="0"/>
  </r>
  <r>
    <x v="2"/>
    <x v="13"/>
    <n v="1077582.1599999999"/>
    <n v="434718"/>
    <n v="0"/>
    <n v="542016.21"/>
    <x v="13"/>
    <x v="22"/>
    <n v="0"/>
  </r>
  <r>
    <x v="6"/>
    <x v="13"/>
    <n v="355820.11"/>
    <n v="279507"/>
    <n v="0"/>
    <n v="95850"/>
    <x v="13"/>
    <x v="23"/>
    <n v="0"/>
  </r>
  <r>
    <x v="1"/>
    <x v="13"/>
    <n v="320030"/>
    <n v="210558.46"/>
    <n v="136730"/>
    <n v="132410"/>
    <x v="13"/>
    <x v="24"/>
    <n v="1.0326259345970847"/>
  </r>
  <r>
    <x v="0"/>
    <x v="13"/>
    <n v="2751296.96"/>
    <n v="1362962.33"/>
    <n v="156550"/>
    <n v="1278796"/>
    <x v="13"/>
    <x v="25"/>
    <n v="0.12241983866074026"/>
  </r>
  <r>
    <x v="8"/>
    <x v="13"/>
    <n v="50250"/>
    <n v="0"/>
    <n v="0"/>
    <n v="50250"/>
    <x v="13"/>
    <x v="0"/>
    <n v="0"/>
  </r>
  <r>
    <x v="3"/>
    <x v="13"/>
    <n v="1404408.8"/>
    <n v="571701.80000000005"/>
    <n v="163350"/>
    <n v="746037.5"/>
    <x v="13"/>
    <x v="26"/>
    <n v="0.21895682187557597"/>
  </r>
  <r>
    <x v="5"/>
    <x v="13"/>
    <n v="1628143.82"/>
    <n v="671755"/>
    <n v="0"/>
    <n v="791546.22"/>
    <x v="13"/>
    <x v="27"/>
    <n v="0"/>
  </r>
  <r>
    <x v="9"/>
    <x v="13"/>
    <n v="0"/>
    <n v="0"/>
    <n v="0"/>
    <n v="0"/>
    <x v="13"/>
    <x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AC3C91-67CB-46C4-9839-A6692A31AA96}" name="Сводная таблица10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Месяц">
  <location ref="B4:H19" firstHeaderRow="0" firstDataRow="1" firstDataCol="1"/>
  <pivotFields count="11">
    <pivotField showAll="0">
      <items count="11">
        <item x="9"/>
        <item x="0"/>
        <item x="4"/>
        <item x="6"/>
        <item x="1"/>
        <item x="7"/>
        <item x="5"/>
        <item x="3"/>
        <item x="2"/>
        <item x="8"/>
        <item t="default"/>
      </items>
    </pivotField>
    <pivotField numFmtId="1" showAll="0"/>
    <pivotField dataField="1" showAll="0"/>
    <pivotField dataField="1" showAll="0"/>
    <pivotField dataField="1" showAll="0"/>
    <pivotField dataField="1" showAll="0"/>
    <pivotField axis="axisRow" showAll="0">
      <items count="15">
        <item x="0"/>
        <item x="1"/>
        <item x="2"/>
        <item x="3"/>
        <item x="5"/>
        <item x="6"/>
        <item x="4"/>
        <item x="7"/>
        <item x="8"/>
        <item x="9"/>
        <item x="10"/>
        <item x="11"/>
        <item x="12"/>
        <item x="13"/>
        <item t="default"/>
      </items>
    </pivotField>
    <pivotField numFmtId="9" showAll="0"/>
    <pivotField numFmtId="9" showAll="0"/>
    <pivotField dataField="1" dragToRow="0" dragToCol="0" dragToPage="0" showAll="0" defaultSubtotal="0"/>
    <pivotField dataField="1" dragToRow="0" dragToCol="0" dragToPage="0" showAll="0" defaultSubtotal="0"/>
  </pivotFields>
  <rowFields count="1">
    <field x="6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к пролонгации" fld="2" baseField="0" baseItem="0" numFmtId="164"/>
    <dataField name="пролонгировано " fld="3" baseField="0" baseItem="0" numFmtId="164"/>
    <dataField name="Коэффициент_1 " fld="9" baseField="0" baseItem="0" numFmtId="10"/>
    <dataField name="к пролонгации " fld="5" baseField="0" baseItem="0" numFmtId="164"/>
    <dataField name=" пролонгировано  " fld="4" baseField="0" baseItem="0" numFmtId="164"/>
    <dataField name="Коэффициент_2 " fld="10" baseField="6" baseItem="0" numFmtId="10"/>
  </dataFields>
  <formats count="33">
    <format dxfId="12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20">
      <pivotArea field="6" type="button" dataOnly="0" labelOnly="1" outline="0" axis="axisRow" fieldPosition="0"/>
    </format>
    <format dxfId="119">
      <pivotArea field="6" type="button" dataOnly="0" labelOnly="1" outline="0" axis="axisRow" fieldPosition="0"/>
    </format>
    <format dxfId="11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17">
      <pivotArea field="6" type="button" dataOnly="0" labelOnly="1" outline="0" axis="axisRow" fieldPosition="0"/>
    </format>
    <format dxfId="11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1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1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1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1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0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09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08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107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06">
      <pivotArea field="6" type="button" dataOnly="0" labelOnly="1" outline="0" axis="axisRow" fieldPosition="0"/>
    </format>
    <format dxfId="10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04">
      <pivotArea type="all" dataOnly="0" outline="0" fieldPosition="0"/>
    </format>
    <format dxfId="103">
      <pivotArea outline="0" collapsedLevelsAreSubtotals="1" fieldPosition="0"/>
    </format>
    <format dxfId="102">
      <pivotArea field="6" type="button" dataOnly="0" labelOnly="1" outline="0" axis="axisRow" fieldPosition="0"/>
    </format>
    <format dxfId="101">
      <pivotArea dataOnly="0" labelOnly="1" fieldPosition="0">
        <references count="1">
          <reference field="6" count="0"/>
        </references>
      </pivotArea>
    </format>
    <format dxfId="10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99">
      <pivotArea outline="0" collapsedLevelsAreSubtotals="1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98">
      <pivotArea dataOnly="0" labelOnly="1" outline="0" fieldPosition="0">
        <references count="1">
          <reference field="4294967294" count="3">
            <x v="3"/>
            <x v="4"/>
            <x v="5"/>
          </reference>
        </references>
      </pivotArea>
    </format>
    <format dxfId="97">
      <pivotArea outline="0" collapsedLevelsAreSubtotals="1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9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95">
      <pivotArea field="6" type="button" dataOnly="0" labelOnly="1" outline="0" axis="axisRow" fieldPosition="0"/>
    </format>
    <format dxfId="9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93">
      <pivotArea dataOnly="0" labelOnly="1" fieldPosition="0">
        <references count="1">
          <reference field="6" count="1">
            <x v="1"/>
          </reference>
        </references>
      </pivotArea>
    </format>
    <format dxfId="9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9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90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89">
      <pivotArea dataOnly="0" labelOnly="1" outline="0" fieldPosition="0">
        <references count="1">
          <reference field="4294967294" count="1">
            <x v="5"/>
          </reference>
        </references>
      </pivotArea>
    </format>
  </formats>
  <conditionalFormats count="2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pivotTableStyleInfo name="PivotStyleMedium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305E87-9C29-4A8F-ACCD-00543679787B}" name="Сводная таблица12" cacheId="0" applyNumberFormats="0" applyBorderFormats="0" applyFontFormats="0" applyPatternFormats="0" applyAlignmentFormats="0" applyWidthHeightFormats="1" dataCaption="Значения" errorCaption="0" showError="1" updatedVersion="8" minRefreshableVersion="3" useAutoFormatting="1" itemPrintTitles="1" createdVersion="8" indent="0" outline="1" outlineData="1" multipleFieldFilters="0" rowHeaderCaption="Менеджер">
  <location ref="B4:H15" firstHeaderRow="0" firstDataRow="1" firstDataCol="1"/>
  <pivotFields count="11">
    <pivotField axis="axisRow" showAll="0">
      <items count="11">
        <item x="0"/>
        <item x="4"/>
        <item x="6"/>
        <item x="1"/>
        <item x="7"/>
        <item x="5"/>
        <item x="3"/>
        <item x="2"/>
        <item x="8"/>
        <item x="9"/>
        <item t="default"/>
      </items>
    </pivotField>
    <pivotField numFmtId="1" showAll="0"/>
    <pivotField dataField="1" showAll="0"/>
    <pivotField dataField="1" showAll="0"/>
    <pivotField dataField="1" showAll="0"/>
    <pivotField dataField="1" showAll="0"/>
    <pivotField showAll="0">
      <items count="15">
        <item x="0"/>
        <item x="1"/>
        <item x="2"/>
        <item x="3"/>
        <item x="5"/>
        <item x="6"/>
        <item x="4"/>
        <item x="7"/>
        <item x="8"/>
        <item x="9"/>
        <item x="10"/>
        <item x="11"/>
        <item x="12"/>
        <item x="13"/>
        <item t="default"/>
      </items>
    </pivotField>
    <pivotField numFmtId="9" showAll="0"/>
    <pivotField numFmtId="9" showAll="0"/>
    <pivotField dataField="1" dragToRow="0" dragToCol="0" dragToPage="0" showAll="0" defaultSubtotal="0"/>
    <pivotField dataField="1" dragToRow="0" dragToCol="0" dragToPage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к пролонгации" fld="2" baseField="0" baseItem="0" numFmtId="164"/>
    <dataField name="пролонгировано " fld="3" baseField="0" baseItem="0" numFmtId="164"/>
    <dataField name="Коэффициент_1 " fld="9" baseField="0" baseItem="0" numFmtId="10"/>
    <dataField name="к пролонгации " fld="5" baseField="0" baseItem="0" numFmtId="164"/>
    <dataField name=" пролонгировано  " fld="4" baseField="0" baseItem="0" numFmtId="164"/>
    <dataField name="Коэффициент_2 " fld="10" baseField="6" baseItem="0" numFmtId="10"/>
  </dataFields>
  <formats count="30">
    <format dxfId="8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87">
      <pivotArea field="6" type="button" dataOnly="0" labelOnly="1" outline="0"/>
    </format>
    <format dxfId="86">
      <pivotArea field="6" type="button" dataOnly="0" labelOnly="1" outline="0"/>
    </format>
    <format dxfId="8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84">
      <pivotArea field="6" type="button" dataOnly="0" labelOnly="1" outline="0"/>
    </format>
    <format dxfId="8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8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8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8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7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7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76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75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74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73">
      <pivotArea field="6" type="button" dataOnly="0" labelOnly="1" outline="0"/>
    </format>
    <format dxfId="7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71">
      <pivotArea field="0" type="button" dataOnly="0" labelOnly="1" outline="0" axis="axisRow" fieldPosition="0"/>
    </format>
    <format dxfId="7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9">
      <pivotArea field="0" type="button" dataOnly="0" labelOnly="1" outline="0" axis="axisRow" fieldPosition="0"/>
    </format>
    <format dxfId="68">
      <pivotArea field="0" type="button" dataOnly="0" labelOnly="1" outline="0" axis="axisRow" fieldPosition="0"/>
    </format>
    <format dxfId="67">
      <pivotArea type="all" dataOnly="0" outline="0" fieldPosition="0"/>
    </format>
    <format dxfId="66">
      <pivotArea outline="0" collapsedLevelsAreSubtotals="1" fieldPosition="0"/>
    </format>
    <format dxfId="65">
      <pivotArea field="0" type="button" dataOnly="0" labelOnly="1" outline="0" axis="axisRow" fieldPosition="0"/>
    </format>
    <format dxfId="64">
      <pivotArea dataOnly="0" labelOnly="1" fieldPosition="0">
        <references count="1">
          <reference field="0" count="0"/>
        </references>
      </pivotArea>
    </format>
    <format dxfId="6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0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59">
      <pivotArea dataOnly="0" labelOnly="1" outline="0" fieldPosition="0">
        <references count="1">
          <reference field="4294967294" count="1">
            <x v="5"/>
          </reference>
        </references>
      </pivotArea>
    </format>
  </formats>
  <conditionalFormats count="2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pivotTableStyleInfo name="PivotStyleMedium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003EB4-3971-44E9-8359-0186614B6DE3}" name="Сводная таблица9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Менеджер" colHeaderCaption="Месяц">
  <location ref="B22:Q34" firstHeaderRow="1" firstDataRow="2" firstDataCol="1"/>
  <pivotFields count="11">
    <pivotField axis="axisRow" showAll="0">
      <items count="11">
        <item x="0"/>
        <item x="4"/>
        <item x="6"/>
        <item x="1"/>
        <item x="7"/>
        <item x="5"/>
        <item x="3"/>
        <item x="2"/>
        <item x="8"/>
        <item x="9"/>
        <item t="default"/>
      </items>
    </pivotField>
    <pivotField numFmtId="1" showAll="0" sortType="ascending">
      <items count="15">
        <item x="0"/>
        <item x="1"/>
        <item x="2"/>
        <item x="3"/>
        <item x="5"/>
        <item x="6"/>
        <item x="4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axis="axisCol" showAll="0" sortType="ascending">
      <items count="15">
        <item x="0"/>
        <item x="1"/>
        <item x="2"/>
        <item x="3"/>
        <item x="5"/>
        <item x="6"/>
        <item x="4"/>
        <item x="7"/>
        <item x="8"/>
        <item x="9"/>
        <item x="10"/>
        <item x="11"/>
        <item x="12"/>
        <item x="13"/>
        <item t="default"/>
      </items>
    </pivotField>
    <pivotField numFmtId="9" showAll="0">
      <items count="29">
        <item x="0"/>
        <item x="6"/>
        <item x="4"/>
        <item x="2"/>
        <item x="17"/>
        <item x="10"/>
        <item x="15"/>
        <item x="16"/>
        <item x="9"/>
        <item x="8"/>
        <item x="20"/>
        <item x="7"/>
        <item x="22"/>
        <item x="26"/>
        <item x="27"/>
        <item x="25"/>
        <item x="3"/>
        <item x="11"/>
        <item x="18"/>
        <item x="5"/>
        <item x="24"/>
        <item x="12"/>
        <item x="23"/>
        <item x="19"/>
        <item x="1"/>
        <item x="14"/>
        <item x="13"/>
        <item x="21"/>
        <item t="default"/>
      </items>
    </pivotField>
    <pivotField dataField="1" numFmtId="9" showAl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6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colItems>
  <dataFields count="1">
    <dataField name=" Коэффициент 2" fld="8" subtotal="average" baseField="0" baseItem="0" numFmtId="9"/>
  </dataFields>
  <formats count="16">
    <format dxfId="26">
      <pivotArea type="origin" dataOnly="0" labelOnly="1" outline="0" fieldPosition="0"/>
    </format>
    <format dxfId="25">
      <pivotArea field="6" type="button" dataOnly="0" labelOnly="1" outline="0" axis="axisCol" fieldPosition="0"/>
    </format>
    <format dxfId="24">
      <pivotArea type="topRight" dataOnly="0" labelOnly="1" outline="0" fieldPosition="0"/>
    </format>
    <format dxfId="23">
      <pivotArea field="0" type="button" dataOnly="0" labelOnly="1" outline="0" axis="axisRow" fieldPosition="0"/>
    </format>
    <format dxfId="22">
      <pivotArea dataOnly="0" labelOnly="1" fieldPosition="0">
        <references count="1">
          <reference field="6" count="0"/>
        </references>
      </pivotArea>
    </format>
    <format dxfId="21">
      <pivotArea type="all" dataOnly="0" outline="0" fieldPosition="0"/>
    </format>
    <format dxfId="20">
      <pivotArea type="origin" dataOnly="0" labelOnly="1" outline="0" fieldPosition="0"/>
    </format>
    <format dxfId="19">
      <pivotArea field="0" type="button" dataOnly="0" labelOnly="1" outline="0" axis="axisRow" fieldPosition="0"/>
    </format>
    <format dxfId="18">
      <pivotArea dataOnly="0" labelOnly="1" fieldPosition="0">
        <references count="1">
          <reference field="0" count="0"/>
        </references>
      </pivotArea>
    </format>
    <format dxfId="17">
      <pivotArea dataOnly="0" labelOnly="1" fieldPosition="0">
        <references count="1">
          <reference field="0" count="0"/>
        </references>
      </pivotArea>
    </format>
    <format dxfId="16">
      <pivotArea dataOnly="0" labelOnly="1" grandRow="1" outline="0" fieldPosition="0"/>
    </format>
    <format dxfId="15">
      <pivotArea dataOnly="0" labelOnly="1" grandRow="1" outline="0" fieldPosition="0"/>
    </format>
    <format dxfId="14">
      <pivotArea dataOnly="0" labelOnly="1" grandCol="1" outline="0" fieldPosition="0"/>
    </format>
    <format dxfId="13">
      <pivotArea grandCol="1" outline="0" collapsedLevelsAreSubtotals="1" fieldPosition="0"/>
    </format>
    <format dxfId="12">
      <pivotArea type="topRight" dataOnly="0" labelOnly="1" outline="0" offset="N1" fieldPosition="0"/>
    </format>
    <format dxfId="11">
      <pivotArea dataOnly="0" labelOnly="1" grandCol="1" outline="0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22FCA6-DB61-467A-9CDB-D1D66D5F3DB1}" name="Сводная таблица8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Менеджер" colHeaderCaption="Месяц">
  <location ref="B3:Q15" firstHeaderRow="1" firstDataRow="2" firstDataCol="1"/>
  <pivotFields count="11">
    <pivotField axis="axisRow" showAll="0">
      <items count="11">
        <item x="0"/>
        <item x="4"/>
        <item x="6"/>
        <item x="1"/>
        <item x="7"/>
        <item x="5"/>
        <item x="3"/>
        <item x="2"/>
        <item x="8"/>
        <item x="9"/>
        <item t="default"/>
      </items>
    </pivotField>
    <pivotField numFmtId="1" showAll="0" sortType="ascending">
      <items count="15">
        <item x="0"/>
        <item x="1"/>
        <item x="2"/>
        <item x="3"/>
        <item x="5"/>
        <item x="6"/>
        <item x="4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axis="axisCol" showAll="0" sortType="ascending">
      <items count="15">
        <item x="0"/>
        <item x="1"/>
        <item x="2"/>
        <item x="3"/>
        <item x="5"/>
        <item x="6"/>
        <item x="4"/>
        <item x="7"/>
        <item x="8"/>
        <item x="9"/>
        <item x="10"/>
        <item x="11"/>
        <item x="12"/>
        <item x="13"/>
        <item t="default"/>
      </items>
    </pivotField>
    <pivotField dataField="1" numFmtId="9" showAll="0">
      <items count="29">
        <item x="0"/>
        <item x="6"/>
        <item x="4"/>
        <item x="2"/>
        <item x="17"/>
        <item x="10"/>
        <item x="15"/>
        <item x="16"/>
        <item x="9"/>
        <item x="8"/>
        <item x="20"/>
        <item x="7"/>
        <item x="22"/>
        <item x="26"/>
        <item x="27"/>
        <item x="25"/>
        <item x="3"/>
        <item x="11"/>
        <item x="18"/>
        <item x="5"/>
        <item x="24"/>
        <item x="12"/>
        <item x="23"/>
        <item x="19"/>
        <item x="1"/>
        <item x="14"/>
        <item x="13"/>
        <item x="21"/>
        <item t="default"/>
      </items>
    </pivotField>
    <pivotField numFmtId="9" showAl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6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colItems>
  <dataFields count="1">
    <dataField name=" Коэффициент 1" fld="7" subtotal="average" baseField="0" baseItem="1" numFmtId="9"/>
  </dataFields>
  <formats count="32">
    <format dxfId="58">
      <pivotArea type="origin" dataOnly="0" labelOnly="1" outline="0" fieldPosition="0"/>
    </format>
    <format dxfId="57">
      <pivotArea field="6" type="button" dataOnly="0" labelOnly="1" outline="0" axis="axisCol" fieldPosition="0"/>
    </format>
    <format dxfId="56">
      <pivotArea type="topRight" dataOnly="0" labelOnly="1" outline="0" fieldPosition="0"/>
    </format>
    <format dxfId="55">
      <pivotArea dataOnly="0" labelOnly="1" fieldPosition="0">
        <references count="1">
          <reference field="6" count="0"/>
        </references>
      </pivotArea>
    </format>
    <format dxfId="54">
      <pivotArea field="0" type="button" dataOnly="0" labelOnly="1" outline="0" axis="axisRow" fieldPosition="0"/>
    </format>
    <format dxfId="53">
      <pivotArea outline="0" collapsedLevelsAreSubtotals="1" fieldPosition="0"/>
    </format>
    <format dxfId="52">
      <pivotArea dataOnly="0" labelOnly="1" fieldPosition="0">
        <references count="1">
          <reference field="0" count="0"/>
        </references>
      </pivotArea>
    </format>
    <format dxfId="51">
      <pivotArea outline="0" collapsedLevelsAreSubtotals="1" fieldPosition="0"/>
    </format>
    <format dxfId="50">
      <pivotArea dataOnly="0" labelOnly="1" fieldPosition="0">
        <references count="1">
          <reference field="0" count="0"/>
        </references>
      </pivotArea>
    </format>
    <format dxfId="49">
      <pivotArea outline="0" collapsedLevelsAreSubtotals="1" fieldPosition="0"/>
    </format>
    <format dxfId="48">
      <pivotArea dataOnly="0" labelOnly="1" fieldPosition="0">
        <references count="1">
          <reference field="0" count="0"/>
        </references>
      </pivotArea>
    </format>
    <format dxfId="47">
      <pivotArea type="origin" dataOnly="0" labelOnly="1" outline="0" fieldPosition="0"/>
    </format>
    <format dxfId="46">
      <pivotArea field="6" type="button" dataOnly="0" labelOnly="1" outline="0" axis="axisCol" fieldPosition="0"/>
    </format>
    <format dxfId="45">
      <pivotArea type="topRight" dataOnly="0" labelOnly="1" outline="0" fieldPosition="0"/>
    </format>
    <format dxfId="44">
      <pivotArea field="0" type="button" dataOnly="0" labelOnly="1" outline="0" axis="axisRow" fieldPosition="0"/>
    </format>
    <format dxfId="43">
      <pivotArea dataOnly="0" labelOnly="1" fieldPosition="0">
        <references count="1">
          <reference field="6" count="0"/>
        </references>
      </pivotArea>
    </format>
    <format dxfId="42">
      <pivotArea outline="0" collapsedLevelsAreSubtotals="1" fieldPosition="0"/>
    </format>
    <format dxfId="41">
      <pivotArea dataOnly="0" labelOnly="1" fieldPosition="0">
        <references count="1">
          <reference field="0" count="0"/>
        </references>
      </pivotArea>
    </format>
    <format dxfId="40">
      <pivotArea type="all" dataOnly="0" outline="0" fieldPosition="0"/>
    </format>
    <format dxfId="39">
      <pivotArea dataOnly="0" labelOnly="1" fieldPosition="0">
        <references count="1">
          <reference field="0" count="0"/>
        </references>
      </pivotArea>
    </format>
    <format dxfId="38">
      <pivotArea dataOnly="0" labelOnly="1" fieldPosition="0">
        <references count="1">
          <reference field="0" count="0"/>
        </references>
      </pivotArea>
    </format>
    <format dxfId="37">
      <pivotArea type="origin" dataOnly="0" labelOnly="1" outline="0" fieldPosition="0"/>
    </format>
    <format dxfId="36">
      <pivotArea field="6" type="button" dataOnly="0" labelOnly="1" outline="0" axis="axisCol" fieldPosition="0"/>
    </format>
    <format dxfId="35">
      <pivotArea type="topRight" dataOnly="0" labelOnly="1" outline="0" fieldPosition="0"/>
    </format>
    <format dxfId="34">
      <pivotArea field="0" type="button" dataOnly="0" labelOnly="1" outline="0" axis="axisRow" fieldPosition="0"/>
    </format>
    <format dxfId="33">
      <pivotArea dataOnly="0" labelOnly="1" fieldPosition="0">
        <references count="1">
          <reference field="6" count="0"/>
        </references>
      </pivotArea>
    </format>
    <format dxfId="32">
      <pivotArea dataOnly="0" grandRow="1" axis="axisRow" fieldPosition="0"/>
    </format>
    <format dxfId="31">
      <pivotArea dataOnly="0" labelOnly="1" grandCol="1" outline="0" fieldPosition="0"/>
    </format>
    <format dxfId="30">
      <pivotArea dataOnly="0" labelOnly="1" grandRow="1" outline="0" fieldPosition="0"/>
    </format>
    <format dxfId="29">
      <pivotArea grandCol="1" outline="0" collapsedLevelsAreSubtotals="1" fieldPosition="0"/>
    </format>
    <format dxfId="28">
      <pivotArea type="topRight" dataOnly="0" labelOnly="1" outline="0" offset="N1" fieldPosition="0"/>
    </format>
    <format dxfId="27">
      <pivotArea dataOnly="0" labelOnly="1" grandCol="1" outline="0" fieldPosition="0"/>
    </format>
  </formats>
  <conditionalFormats count="1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6F141E6-ABB3-47BA-99AB-9945373A3B5B}" name="Таблица4" displayName="Таблица4" ref="A1:I75" totalsRowShown="0" headerRowDxfId="10" dataDxfId="9">
  <autoFilter ref="A1:I75" xr:uid="{D6F141E6-ABB3-47BA-99AB-9945373A3B5B}"/>
  <tableColumns count="9">
    <tableColumn id="1" xr3:uid="{0B95CA3D-D61B-4361-9C5A-2F2C2D05BB35}" name="AM" dataDxfId="8"/>
    <tableColumn id="2" xr3:uid="{86E76B12-B612-4D6F-9434-D6335D5290A2}" name="MonthKey_close" dataDxfId="7"/>
    <tableColumn id="3" xr3:uid="{86A03C26-08FD-452A-A74A-6C6A72155970}" name="Общий_BaseAmount" dataDxfId="6"/>
    <tableColumn id="4" xr3:uid="{92EE6C0F-8FE1-4230-92F8-59287E196B82}" name="Общий_M1Amount" dataDxfId="5"/>
    <tableColumn id="5" xr3:uid="{4350E970-8704-4617-B9C8-98E2928680F7}" name="Итого_Числитель_Коэф2" dataDxfId="4"/>
    <tableColumn id="6" xr3:uid="{5786B10C-E75E-403A-B185-1F1D825CE3A4}" name="Итого_Знаменатель_Коэф2" dataDxfId="3"/>
    <tableColumn id="7" xr3:uid="{45F73DB5-BD3F-4A78-A881-0D03BCD739FD}" name="date" dataDxfId="2"/>
    <tableColumn id="8" xr3:uid="{9DA04763-CE17-4D74-A816-12DF2BED944F}" name="Коэффициент 1" dataDxfId="1" dataCellStyle="Процентный">
      <calculatedColumnFormula>IFERROR($D2/$C2,0)</calculatedColumnFormula>
    </tableColumn>
    <tableColumn id="9" xr3:uid="{287EEDD5-D598-4A15-B92E-1965ED98D7E2}" name="Коэффициент 2" dataDxfId="0" dataCellStyle="Процентный">
      <calculatedColumnFormula>IFERROR($E2/$F2,0)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0A314-6066-4005-918A-6E886172CAD9}">
  <dimension ref="B3:H19"/>
  <sheetViews>
    <sheetView showGridLines="0" workbookViewId="0">
      <selection activeCell="D28" sqref="D28"/>
    </sheetView>
  </sheetViews>
  <sheetFormatPr defaultRowHeight="14.4" x14ac:dyDescent="0.3"/>
  <cols>
    <col min="2" max="2" width="13.5546875" bestFit="1" customWidth="1"/>
    <col min="3" max="3" width="14.109375" style="4" bestFit="1" customWidth="1"/>
    <col min="4" max="4" width="16.33203125" style="4" bestFit="1" customWidth="1"/>
    <col min="5" max="5" width="15.5546875" style="49" bestFit="1" customWidth="1"/>
    <col min="6" max="6" width="14.5546875" style="4" bestFit="1" customWidth="1"/>
    <col min="7" max="7" width="17.33203125" style="4" bestFit="1" customWidth="1"/>
    <col min="8" max="8" width="15.5546875" style="49" bestFit="1" customWidth="1"/>
  </cols>
  <sheetData>
    <row r="3" spans="2:8" s="6" customFormat="1" ht="15.6" x14ac:dyDescent="0.3">
      <c r="B3" s="11"/>
      <c r="C3" s="65" t="s">
        <v>45</v>
      </c>
      <c r="D3" s="66"/>
      <c r="E3" s="67"/>
      <c r="F3" s="65" t="s">
        <v>44</v>
      </c>
      <c r="G3" s="66"/>
      <c r="H3" s="67"/>
    </row>
    <row r="4" spans="2:8" s="5" customFormat="1" x14ac:dyDescent="0.3">
      <c r="B4" s="41" t="s">
        <v>34</v>
      </c>
      <c r="C4" s="42" t="s">
        <v>36</v>
      </c>
      <c r="D4" s="43" t="s">
        <v>37</v>
      </c>
      <c r="E4" s="45" t="s">
        <v>38</v>
      </c>
      <c r="F4" s="42" t="s">
        <v>40</v>
      </c>
      <c r="G4" s="43" t="s">
        <v>41</v>
      </c>
      <c r="H4" s="50" t="s">
        <v>39</v>
      </c>
    </row>
    <row r="5" spans="2:8" x14ac:dyDescent="0.3">
      <c r="B5" s="40" t="s">
        <v>8</v>
      </c>
      <c r="C5" s="38">
        <v>422732</v>
      </c>
      <c r="D5" s="39">
        <v>0</v>
      </c>
      <c r="E5" s="46">
        <v>0</v>
      </c>
      <c r="F5" s="38">
        <v>422732</v>
      </c>
      <c r="G5" s="39">
        <v>0</v>
      </c>
      <c r="H5" s="51">
        <v>0</v>
      </c>
    </row>
    <row r="6" spans="2:8" x14ac:dyDescent="0.3">
      <c r="B6" s="44" t="s">
        <v>9</v>
      </c>
      <c r="C6" s="9">
        <v>2553253.4699999997</v>
      </c>
      <c r="D6" s="4">
        <v>327471.67000000004</v>
      </c>
      <c r="E6" s="47">
        <v>0.12825662389092929</v>
      </c>
      <c r="F6" s="9">
        <v>2168272.7599999998</v>
      </c>
      <c r="G6" s="4">
        <v>91770</v>
      </c>
      <c r="H6" s="52">
        <v>4.2324010933015646E-2</v>
      </c>
    </row>
    <row r="7" spans="2:8" x14ac:dyDescent="0.3">
      <c r="B7" s="23" t="s">
        <v>11</v>
      </c>
      <c r="C7" s="9">
        <v>1237820.5</v>
      </c>
      <c r="D7" s="4">
        <v>811155</v>
      </c>
      <c r="E7" s="47">
        <v>0.65530906944908407</v>
      </c>
      <c r="F7" s="9">
        <v>402735.5</v>
      </c>
      <c r="G7" s="4">
        <v>55225</v>
      </c>
      <c r="H7" s="52">
        <v>0.1371247381966576</v>
      </c>
    </row>
    <row r="8" spans="2:8" x14ac:dyDescent="0.3">
      <c r="B8" s="23" t="s">
        <v>13</v>
      </c>
      <c r="C8" s="9">
        <v>572675</v>
      </c>
      <c r="D8" s="4">
        <v>0</v>
      </c>
      <c r="E8" s="47">
        <v>0</v>
      </c>
      <c r="F8" s="9">
        <v>572675</v>
      </c>
      <c r="G8" s="4">
        <v>0</v>
      </c>
      <c r="H8" s="52">
        <v>0</v>
      </c>
    </row>
    <row r="9" spans="2:8" x14ac:dyDescent="0.3">
      <c r="B9" s="23" t="s">
        <v>18</v>
      </c>
      <c r="C9" s="9">
        <v>1125438</v>
      </c>
      <c r="D9" s="4">
        <v>0</v>
      </c>
      <c r="E9" s="47">
        <v>0</v>
      </c>
      <c r="F9" s="9">
        <v>1125438</v>
      </c>
      <c r="G9" s="4">
        <v>0</v>
      </c>
      <c r="H9" s="52">
        <v>0</v>
      </c>
    </row>
    <row r="10" spans="2:8" x14ac:dyDescent="0.3">
      <c r="B10" s="23" t="s">
        <v>20</v>
      </c>
      <c r="C10" s="9">
        <v>936710</v>
      </c>
      <c r="D10" s="4">
        <v>0</v>
      </c>
      <c r="E10" s="47">
        <v>0</v>
      </c>
      <c r="F10" s="9">
        <v>936710</v>
      </c>
      <c r="G10" s="4">
        <v>0</v>
      </c>
      <c r="H10" s="52">
        <v>0</v>
      </c>
    </row>
    <row r="11" spans="2:8" x14ac:dyDescent="0.3">
      <c r="B11" s="23" t="s">
        <v>16</v>
      </c>
      <c r="C11" s="9">
        <v>1020325.53</v>
      </c>
      <c r="D11" s="4">
        <v>0</v>
      </c>
      <c r="E11" s="47">
        <v>0</v>
      </c>
      <c r="F11" s="9">
        <v>1020325.53</v>
      </c>
      <c r="G11" s="4">
        <v>69385</v>
      </c>
      <c r="H11" s="52">
        <v>6.8002806908105104E-2</v>
      </c>
    </row>
    <row r="12" spans="2:8" x14ac:dyDescent="0.3">
      <c r="B12" s="23" t="s">
        <v>21</v>
      </c>
      <c r="C12" s="9">
        <v>1569519.85</v>
      </c>
      <c r="D12" s="4">
        <v>136320</v>
      </c>
      <c r="E12" s="47">
        <v>8.6854588044872449E-2</v>
      </c>
      <c r="F12" s="9">
        <v>1418814.85</v>
      </c>
      <c r="G12" s="4">
        <v>0</v>
      </c>
      <c r="H12" s="52">
        <v>0</v>
      </c>
    </row>
    <row r="13" spans="2:8" x14ac:dyDescent="0.3">
      <c r="B13" s="23" t="s">
        <v>22</v>
      </c>
      <c r="C13" s="9">
        <v>1124555.83</v>
      </c>
      <c r="D13" s="4">
        <v>282433.88</v>
      </c>
      <c r="E13" s="47">
        <v>0.25115149685365107</v>
      </c>
      <c r="F13" s="9">
        <v>684329.63</v>
      </c>
      <c r="G13" s="4">
        <v>0</v>
      </c>
      <c r="H13" s="52">
        <v>0</v>
      </c>
    </row>
    <row r="14" spans="2:8" x14ac:dyDescent="0.3">
      <c r="B14" s="23" t="s">
        <v>23</v>
      </c>
      <c r="C14" s="9">
        <v>2317345.12</v>
      </c>
      <c r="D14" s="4">
        <v>314920</v>
      </c>
      <c r="E14" s="47">
        <v>0.13589689221603729</v>
      </c>
      <c r="F14" s="9">
        <v>2035985.12</v>
      </c>
      <c r="G14" s="4">
        <v>163359</v>
      </c>
      <c r="H14" s="52">
        <v>8.02358516254775E-2</v>
      </c>
    </row>
    <row r="15" spans="2:8" x14ac:dyDescent="0.3">
      <c r="B15" s="23" t="s">
        <v>24</v>
      </c>
      <c r="C15" s="9">
        <v>2324356.9299999997</v>
      </c>
      <c r="D15" s="4">
        <v>1415939.95</v>
      </c>
      <c r="E15" s="47">
        <v>0.60917492134050177</v>
      </c>
      <c r="F15" s="9">
        <v>1130392.68</v>
      </c>
      <c r="G15" s="4">
        <v>21400</v>
      </c>
      <c r="H15" s="52">
        <v>1.8931474326249177E-2</v>
      </c>
    </row>
    <row r="16" spans="2:8" x14ac:dyDescent="0.3">
      <c r="B16" s="23" t="s">
        <v>25</v>
      </c>
      <c r="C16" s="9">
        <v>563088.97</v>
      </c>
      <c r="D16" s="4">
        <v>157070</v>
      </c>
      <c r="E16" s="47">
        <v>0.27894348560938781</v>
      </c>
      <c r="F16" s="9">
        <v>411862.5</v>
      </c>
      <c r="G16" s="4">
        <v>87540</v>
      </c>
      <c r="H16" s="52">
        <v>0.21254666302467451</v>
      </c>
    </row>
    <row r="17" spans="2:8" x14ac:dyDescent="0.3">
      <c r="B17" s="23" t="s">
        <v>26</v>
      </c>
      <c r="C17" s="9">
        <v>2355139.91</v>
      </c>
      <c r="D17" s="4">
        <v>1222684.8599999999</v>
      </c>
      <c r="E17" s="47">
        <v>0.51915593413726313</v>
      </c>
      <c r="F17" s="9">
        <v>861947.06</v>
      </c>
      <c r="G17" s="4">
        <v>86225.5</v>
      </c>
      <c r="H17" s="52">
        <v>0.10003572609204096</v>
      </c>
    </row>
    <row r="18" spans="2:8" x14ac:dyDescent="0.3">
      <c r="B18" s="24" t="s">
        <v>28</v>
      </c>
      <c r="C18" s="9">
        <v>7587531.8500000006</v>
      </c>
      <c r="D18" s="4">
        <v>3531202.59</v>
      </c>
      <c r="E18" s="47">
        <v>0.46539542235990738</v>
      </c>
      <c r="F18" s="9">
        <v>3636905.9299999997</v>
      </c>
      <c r="G18" s="4">
        <v>456630</v>
      </c>
      <c r="H18" s="52">
        <v>0.1255545259593778</v>
      </c>
    </row>
    <row r="19" spans="2:8" x14ac:dyDescent="0.3">
      <c r="B19" s="7" t="s">
        <v>43</v>
      </c>
      <c r="C19" s="10">
        <v>25710492.960000001</v>
      </c>
      <c r="D19" s="8">
        <v>8199197.9499999993</v>
      </c>
      <c r="E19" s="48">
        <v>0.31890473522838275</v>
      </c>
      <c r="F19" s="10">
        <v>16829126.560000002</v>
      </c>
      <c r="G19" s="8">
        <v>1031534.5</v>
      </c>
      <c r="H19" s="53">
        <v>6.1294595196151408E-2</v>
      </c>
    </row>
  </sheetData>
  <mergeCells count="2">
    <mergeCell ref="C3:E3"/>
    <mergeCell ref="F3:H3"/>
  </mergeCells>
  <conditionalFormatting pivot="1" sqref="E5:E19">
    <cfRule type="colorScale" priority="2">
      <colorScale>
        <cfvo type="num" val="0"/>
        <cfvo type="num" val="0.3"/>
        <cfvo type="num" val="0.6"/>
        <color rgb="FFFFC7CE"/>
        <color rgb="FFFFEB9C"/>
        <color rgb="FFC6EFCE"/>
      </colorScale>
    </cfRule>
  </conditionalFormatting>
  <conditionalFormatting pivot="1" sqref="H5:H19">
    <cfRule type="colorScale" priority="1">
      <colorScale>
        <cfvo type="num" val="0"/>
        <cfvo type="num" val="0.2"/>
        <color theme="0"/>
        <color rgb="FFC6EFCE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20A8A-2806-499D-B4DA-4AFA05D1B15E}">
  <dimension ref="B3:H92"/>
  <sheetViews>
    <sheetView showGridLines="0" workbookViewId="0">
      <selection activeCell="B21" sqref="B21"/>
    </sheetView>
  </sheetViews>
  <sheetFormatPr defaultRowHeight="14.4" x14ac:dyDescent="0.3"/>
  <cols>
    <col min="2" max="2" width="29.88671875" bestFit="1" customWidth="1"/>
    <col min="3" max="3" width="14.109375" style="4" bestFit="1" customWidth="1"/>
    <col min="4" max="4" width="16.33203125" style="4" bestFit="1" customWidth="1"/>
    <col min="5" max="5" width="15.5546875" style="49" bestFit="1" customWidth="1"/>
    <col min="6" max="6" width="14.5546875" style="4" bestFit="1" customWidth="1"/>
    <col min="7" max="7" width="17.33203125" style="4" bestFit="1" customWidth="1"/>
    <col min="8" max="8" width="15.5546875" style="49" bestFit="1" customWidth="1"/>
  </cols>
  <sheetData>
    <row r="3" spans="2:8" s="6" customFormat="1" ht="15.6" x14ac:dyDescent="0.3">
      <c r="B3" s="11"/>
      <c r="C3" s="65" t="s">
        <v>45</v>
      </c>
      <c r="D3" s="66"/>
      <c r="E3" s="67"/>
      <c r="F3" s="66" t="s">
        <v>44</v>
      </c>
      <c r="G3" s="66"/>
      <c r="H3" s="67"/>
    </row>
    <row r="4" spans="2:8" s="5" customFormat="1" x14ac:dyDescent="0.3">
      <c r="B4" s="41" t="s">
        <v>42</v>
      </c>
      <c r="C4" s="42" t="s">
        <v>36</v>
      </c>
      <c r="D4" s="43" t="s">
        <v>37</v>
      </c>
      <c r="E4" s="45" t="s">
        <v>38</v>
      </c>
      <c r="F4" s="43" t="s">
        <v>40</v>
      </c>
      <c r="G4" s="43" t="s">
        <v>41</v>
      </c>
      <c r="H4" s="54" t="s">
        <v>39</v>
      </c>
    </row>
    <row r="5" spans="2:8" x14ac:dyDescent="0.3">
      <c r="B5" s="40" t="s">
        <v>7</v>
      </c>
      <c r="C5" s="38">
        <v>7200298.0599999996</v>
      </c>
      <c r="D5" s="39">
        <v>1552962.33</v>
      </c>
      <c r="E5" s="46">
        <v>0.21568028393535699</v>
      </c>
      <c r="F5" s="39">
        <v>5486797.0999999996</v>
      </c>
      <c r="G5" s="39">
        <v>288865</v>
      </c>
      <c r="H5" s="55">
        <v>5.2647290347222792E-2</v>
      </c>
    </row>
    <row r="6" spans="2:8" x14ac:dyDescent="0.3">
      <c r="B6" s="23" t="s">
        <v>15</v>
      </c>
      <c r="C6" s="9">
        <v>2957321.66</v>
      </c>
      <c r="D6" s="4">
        <v>411900.55000000005</v>
      </c>
      <c r="E6" s="47">
        <v>0.1392816194366899</v>
      </c>
      <c r="F6" s="4">
        <v>2379139.75</v>
      </c>
      <c r="G6" s="4">
        <v>0</v>
      </c>
      <c r="H6" s="56">
        <v>0</v>
      </c>
    </row>
    <row r="7" spans="2:8" x14ac:dyDescent="0.3">
      <c r="B7" s="23" t="s">
        <v>19</v>
      </c>
      <c r="C7" s="9">
        <v>931153.49</v>
      </c>
      <c r="D7" s="4">
        <v>501209.33999999997</v>
      </c>
      <c r="E7" s="47">
        <v>0.53826715507450873</v>
      </c>
      <c r="F7" s="4">
        <v>457171.06</v>
      </c>
      <c r="G7" s="4">
        <v>0</v>
      </c>
      <c r="H7" s="56">
        <v>0</v>
      </c>
    </row>
    <row r="8" spans="2:8" x14ac:dyDescent="0.3">
      <c r="B8" s="23" t="s">
        <v>10</v>
      </c>
      <c r="C8" s="9">
        <v>2254214.6799999997</v>
      </c>
      <c r="D8" s="4">
        <v>979378.46</v>
      </c>
      <c r="E8" s="47">
        <v>0.43446547868280233</v>
      </c>
      <c r="F8" s="4">
        <v>1313414.68</v>
      </c>
      <c r="G8" s="4">
        <v>136730</v>
      </c>
      <c r="H8" s="56">
        <v>0.10410268903039824</v>
      </c>
    </row>
    <row r="9" spans="2:8" x14ac:dyDescent="0.3">
      <c r="B9" s="23" t="s">
        <v>27</v>
      </c>
      <c r="C9" s="9">
        <v>98492</v>
      </c>
      <c r="D9" s="4">
        <v>109442.52</v>
      </c>
      <c r="E9" s="47">
        <v>1.1111818218738578</v>
      </c>
      <c r="F9" s="4">
        <v>0</v>
      </c>
      <c r="G9" s="4">
        <v>0</v>
      </c>
      <c r="H9" s="56">
        <v>0</v>
      </c>
    </row>
    <row r="10" spans="2:8" x14ac:dyDescent="0.3">
      <c r="B10" s="23" t="s">
        <v>17</v>
      </c>
      <c r="C10" s="9">
        <v>3915774.08</v>
      </c>
      <c r="D10" s="4">
        <v>1172961.2</v>
      </c>
      <c r="E10" s="47">
        <v>0.29954772058759832</v>
      </c>
      <c r="F10" s="4">
        <v>2572811.48</v>
      </c>
      <c r="G10" s="4">
        <v>225809</v>
      </c>
      <c r="H10" s="56">
        <v>8.7767409993055531E-2</v>
      </c>
    </row>
    <row r="11" spans="2:8" x14ac:dyDescent="0.3">
      <c r="B11" s="23" t="s">
        <v>14</v>
      </c>
      <c r="C11" s="9">
        <v>3496934.8499999996</v>
      </c>
      <c r="D11" s="4">
        <v>1846435.55</v>
      </c>
      <c r="E11" s="47">
        <v>0.52801542756794573</v>
      </c>
      <c r="F11" s="4">
        <v>1612659.3</v>
      </c>
      <c r="G11" s="4">
        <v>333135.5</v>
      </c>
      <c r="H11" s="56">
        <v>0.20657525120154022</v>
      </c>
    </row>
    <row r="12" spans="2:8" x14ac:dyDescent="0.3">
      <c r="B12" s="23" t="s">
        <v>12</v>
      </c>
      <c r="C12" s="9">
        <v>4806054.1400000006</v>
      </c>
      <c r="D12" s="4">
        <v>1624908</v>
      </c>
      <c r="E12" s="47">
        <v>0.33809606647502305</v>
      </c>
      <c r="F12" s="4">
        <v>2956883.1900000004</v>
      </c>
      <c r="G12" s="4">
        <v>46995</v>
      </c>
      <c r="H12" s="56">
        <v>1.5893424589423836E-2</v>
      </c>
    </row>
    <row r="13" spans="2:8" x14ac:dyDescent="0.3">
      <c r="B13" s="23" t="s">
        <v>29</v>
      </c>
      <c r="C13" s="9">
        <v>50250</v>
      </c>
      <c r="D13" s="4">
        <v>0</v>
      </c>
      <c r="E13" s="47">
        <v>0</v>
      </c>
      <c r="F13" s="4">
        <v>50250</v>
      </c>
      <c r="G13" s="4">
        <v>0</v>
      </c>
      <c r="H13" s="56">
        <v>0</v>
      </c>
    </row>
    <row r="14" spans="2:8" x14ac:dyDescent="0.3">
      <c r="B14" s="24" t="s">
        <v>30</v>
      </c>
      <c r="C14" s="9">
        <v>0</v>
      </c>
      <c r="D14" s="4">
        <v>0</v>
      </c>
      <c r="E14" s="47">
        <v>0</v>
      </c>
      <c r="F14" s="4">
        <v>0</v>
      </c>
      <c r="G14" s="4">
        <v>0</v>
      </c>
      <c r="H14" s="56">
        <v>0</v>
      </c>
    </row>
    <row r="15" spans="2:8" x14ac:dyDescent="0.3">
      <c r="B15" s="7" t="s">
        <v>43</v>
      </c>
      <c r="C15" s="10">
        <v>25710492.960000001</v>
      </c>
      <c r="D15" s="8">
        <v>8199197.9500000002</v>
      </c>
      <c r="E15" s="48">
        <v>0.31890473522838281</v>
      </c>
      <c r="F15" s="8">
        <v>16829126.560000002</v>
      </c>
      <c r="G15" s="8">
        <v>1031534.5</v>
      </c>
      <c r="H15" s="57">
        <v>6.1294595196151408E-2</v>
      </c>
    </row>
    <row r="16" spans="2:8" x14ac:dyDescent="0.3">
      <c r="C16"/>
      <c r="D16"/>
      <c r="F16"/>
      <c r="G16"/>
    </row>
    <row r="17" spans="3:7" x14ac:dyDescent="0.3">
      <c r="C17"/>
      <c r="D17"/>
      <c r="F17"/>
      <c r="G17"/>
    </row>
    <row r="18" spans="3:7" x14ac:dyDescent="0.3">
      <c r="C18"/>
      <c r="D18"/>
      <c r="F18"/>
      <c r="G18"/>
    </row>
    <row r="19" spans="3:7" x14ac:dyDescent="0.3">
      <c r="C19"/>
      <c r="D19"/>
      <c r="F19"/>
      <c r="G19"/>
    </row>
    <row r="20" spans="3:7" x14ac:dyDescent="0.3">
      <c r="C20"/>
      <c r="D20"/>
      <c r="F20"/>
      <c r="G20"/>
    </row>
    <row r="21" spans="3:7" x14ac:dyDescent="0.3">
      <c r="C21"/>
      <c r="D21"/>
      <c r="F21"/>
      <c r="G21"/>
    </row>
    <row r="22" spans="3:7" x14ac:dyDescent="0.3">
      <c r="C22"/>
      <c r="D22"/>
      <c r="F22"/>
      <c r="G22"/>
    </row>
    <row r="23" spans="3:7" x14ac:dyDescent="0.3">
      <c r="C23"/>
      <c r="D23"/>
      <c r="F23"/>
      <c r="G23"/>
    </row>
    <row r="24" spans="3:7" x14ac:dyDescent="0.3">
      <c r="C24"/>
      <c r="D24"/>
      <c r="F24"/>
      <c r="G24"/>
    </row>
    <row r="25" spans="3:7" x14ac:dyDescent="0.3">
      <c r="C25"/>
      <c r="D25"/>
      <c r="F25"/>
      <c r="G25"/>
    </row>
    <row r="26" spans="3:7" x14ac:dyDescent="0.3">
      <c r="C26"/>
      <c r="D26"/>
      <c r="F26"/>
      <c r="G26"/>
    </row>
    <row r="27" spans="3:7" x14ac:dyDescent="0.3">
      <c r="C27"/>
      <c r="D27"/>
      <c r="F27"/>
      <c r="G27"/>
    </row>
    <row r="28" spans="3:7" x14ac:dyDescent="0.3">
      <c r="C28"/>
      <c r="D28"/>
      <c r="F28"/>
      <c r="G28"/>
    </row>
    <row r="29" spans="3:7" x14ac:dyDescent="0.3">
      <c r="C29"/>
      <c r="D29"/>
      <c r="F29"/>
      <c r="G29"/>
    </row>
    <row r="30" spans="3:7" x14ac:dyDescent="0.3">
      <c r="C30"/>
      <c r="D30"/>
      <c r="F30"/>
      <c r="G30"/>
    </row>
    <row r="31" spans="3:7" x14ac:dyDescent="0.3">
      <c r="C31"/>
      <c r="D31"/>
      <c r="F31"/>
      <c r="G31"/>
    </row>
    <row r="32" spans="3:7" x14ac:dyDescent="0.3">
      <c r="C32"/>
      <c r="D32"/>
      <c r="F32"/>
      <c r="G32"/>
    </row>
    <row r="33" spans="3:7" x14ac:dyDescent="0.3">
      <c r="C33"/>
      <c r="D33"/>
      <c r="F33"/>
      <c r="G33"/>
    </row>
    <row r="34" spans="3:7" x14ac:dyDescent="0.3">
      <c r="C34"/>
      <c r="D34"/>
      <c r="F34"/>
      <c r="G34"/>
    </row>
    <row r="35" spans="3:7" x14ac:dyDescent="0.3">
      <c r="C35"/>
      <c r="D35"/>
      <c r="F35"/>
      <c r="G35"/>
    </row>
    <row r="36" spans="3:7" x14ac:dyDescent="0.3">
      <c r="C36"/>
      <c r="D36"/>
      <c r="F36"/>
      <c r="G36"/>
    </row>
    <row r="37" spans="3:7" x14ac:dyDescent="0.3">
      <c r="C37"/>
      <c r="D37"/>
      <c r="F37"/>
      <c r="G37"/>
    </row>
    <row r="38" spans="3:7" x14ac:dyDescent="0.3">
      <c r="C38"/>
      <c r="D38"/>
      <c r="F38"/>
      <c r="G38"/>
    </row>
    <row r="39" spans="3:7" x14ac:dyDescent="0.3">
      <c r="C39"/>
      <c r="D39"/>
      <c r="F39"/>
      <c r="G39"/>
    </row>
    <row r="40" spans="3:7" x14ac:dyDescent="0.3">
      <c r="C40"/>
      <c r="D40"/>
      <c r="F40"/>
      <c r="G40"/>
    </row>
    <row r="41" spans="3:7" x14ac:dyDescent="0.3">
      <c r="C41"/>
      <c r="D41"/>
      <c r="F41"/>
      <c r="G41"/>
    </row>
    <row r="42" spans="3:7" x14ac:dyDescent="0.3">
      <c r="C42"/>
      <c r="D42"/>
      <c r="F42"/>
      <c r="G42"/>
    </row>
    <row r="43" spans="3:7" x14ac:dyDescent="0.3">
      <c r="C43"/>
      <c r="D43"/>
      <c r="F43"/>
      <c r="G43"/>
    </row>
    <row r="44" spans="3:7" x14ac:dyDescent="0.3">
      <c r="C44"/>
      <c r="D44"/>
      <c r="F44"/>
      <c r="G44"/>
    </row>
    <row r="45" spans="3:7" x14ac:dyDescent="0.3">
      <c r="C45"/>
      <c r="D45"/>
      <c r="F45"/>
      <c r="G45"/>
    </row>
    <row r="46" spans="3:7" x14ac:dyDescent="0.3">
      <c r="C46"/>
      <c r="D46"/>
      <c r="F46"/>
      <c r="G46"/>
    </row>
    <row r="47" spans="3:7" x14ac:dyDescent="0.3">
      <c r="C47"/>
      <c r="D47"/>
      <c r="F47"/>
      <c r="G47"/>
    </row>
    <row r="48" spans="3:7" x14ac:dyDescent="0.3">
      <c r="C48"/>
      <c r="D48"/>
      <c r="F48"/>
      <c r="G48"/>
    </row>
    <row r="49" spans="3:7" x14ac:dyDescent="0.3">
      <c r="C49"/>
      <c r="D49"/>
      <c r="F49"/>
      <c r="G49"/>
    </row>
    <row r="50" spans="3:7" x14ac:dyDescent="0.3">
      <c r="C50"/>
      <c r="D50"/>
      <c r="F50"/>
      <c r="G50"/>
    </row>
    <row r="51" spans="3:7" x14ac:dyDescent="0.3">
      <c r="C51"/>
      <c r="D51"/>
      <c r="F51"/>
      <c r="G51"/>
    </row>
    <row r="52" spans="3:7" x14ac:dyDescent="0.3">
      <c r="C52"/>
      <c r="D52"/>
      <c r="F52"/>
      <c r="G52"/>
    </row>
    <row r="53" spans="3:7" x14ac:dyDescent="0.3">
      <c r="C53"/>
      <c r="D53"/>
      <c r="F53"/>
      <c r="G53"/>
    </row>
    <row r="54" spans="3:7" x14ac:dyDescent="0.3">
      <c r="C54"/>
      <c r="D54"/>
      <c r="F54"/>
      <c r="G54"/>
    </row>
    <row r="55" spans="3:7" x14ac:dyDescent="0.3">
      <c r="C55"/>
      <c r="D55"/>
      <c r="F55"/>
      <c r="G55"/>
    </row>
    <row r="56" spans="3:7" x14ac:dyDescent="0.3">
      <c r="C56"/>
      <c r="D56"/>
      <c r="F56"/>
      <c r="G56"/>
    </row>
    <row r="57" spans="3:7" x14ac:dyDescent="0.3">
      <c r="C57"/>
      <c r="D57"/>
      <c r="F57"/>
      <c r="G57"/>
    </row>
    <row r="58" spans="3:7" x14ac:dyDescent="0.3">
      <c r="C58"/>
      <c r="D58"/>
      <c r="F58"/>
      <c r="G58"/>
    </row>
    <row r="59" spans="3:7" x14ac:dyDescent="0.3">
      <c r="C59"/>
      <c r="D59"/>
      <c r="F59"/>
      <c r="G59"/>
    </row>
    <row r="60" spans="3:7" x14ac:dyDescent="0.3">
      <c r="C60"/>
      <c r="D60"/>
      <c r="F60"/>
      <c r="G60"/>
    </row>
    <row r="61" spans="3:7" x14ac:dyDescent="0.3">
      <c r="C61"/>
      <c r="D61"/>
      <c r="F61"/>
      <c r="G61"/>
    </row>
    <row r="62" spans="3:7" x14ac:dyDescent="0.3">
      <c r="C62"/>
      <c r="D62"/>
      <c r="F62"/>
      <c r="G62"/>
    </row>
    <row r="63" spans="3:7" x14ac:dyDescent="0.3">
      <c r="C63"/>
      <c r="D63"/>
      <c r="F63"/>
      <c r="G63"/>
    </row>
    <row r="64" spans="3:7" x14ac:dyDescent="0.3">
      <c r="C64"/>
      <c r="D64"/>
      <c r="F64"/>
      <c r="G64"/>
    </row>
    <row r="65" spans="3:7" x14ac:dyDescent="0.3">
      <c r="C65"/>
      <c r="D65"/>
      <c r="F65"/>
      <c r="G65"/>
    </row>
    <row r="66" spans="3:7" x14ac:dyDescent="0.3">
      <c r="C66"/>
      <c r="D66"/>
      <c r="F66"/>
      <c r="G66"/>
    </row>
    <row r="67" spans="3:7" x14ac:dyDescent="0.3">
      <c r="C67"/>
      <c r="D67"/>
      <c r="F67"/>
      <c r="G67"/>
    </row>
    <row r="68" spans="3:7" x14ac:dyDescent="0.3">
      <c r="C68"/>
      <c r="D68"/>
      <c r="F68"/>
      <c r="G68"/>
    </row>
    <row r="69" spans="3:7" x14ac:dyDescent="0.3">
      <c r="C69"/>
      <c r="D69"/>
      <c r="F69"/>
      <c r="G69"/>
    </row>
    <row r="70" spans="3:7" x14ac:dyDescent="0.3">
      <c r="C70"/>
      <c r="D70"/>
      <c r="F70"/>
      <c r="G70"/>
    </row>
    <row r="71" spans="3:7" x14ac:dyDescent="0.3">
      <c r="C71"/>
      <c r="D71"/>
      <c r="F71"/>
      <c r="G71"/>
    </row>
    <row r="72" spans="3:7" x14ac:dyDescent="0.3">
      <c r="C72"/>
      <c r="D72"/>
      <c r="F72"/>
      <c r="G72"/>
    </row>
    <row r="73" spans="3:7" x14ac:dyDescent="0.3">
      <c r="C73"/>
      <c r="D73"/>
      <c r="F73"/>
      <c r="G73"/>
    </row>
    <row r="74" spans="3:7" x14ac:dyDescent="0.3">
      <c r="C74"/>
      <c r="D74"/>
      <c r="F74"/>
      <c r="G74"/>
    </row>
    <row r="75" spans="3:7" x14ac:dyDescent="0.3">
      <c r="C75"/>
      <c r="D75"/>
      <c r="F75"/>
      <c r="G75"/>
    </row>
    <row r="76" spans="3:7" x14ac:dyDescent="0.3">
      <c r="C76"/>
      <c r="D76"/>
      <c r="F76"/>
      <c r="G76"/>
    </row>
    <row r="77" spans="3:7" x14ac:dyDescent="0.3">
      <c r="C77"/>
      <c r="D77"/>
      <c r="F77"/>
      <c r="G77"/>
    </row>
    <row r="78" spans="3:7" x14ac:dyDescent="0.3">
      <c r="C78"/>
      <c r="D78"/>
      <c r="F78"/>
      <c r="G78"/>
    </row>
    <row r="79" spans="3:7" x14ac:dyDescent="0.3">
      <c r="C79"/>
      <c r="D79"/>
      <c r="F79"/>
      <c r="G79"/>
    </row>
    <row r="80" spans="3:7" x14ac:dyDescent="0.3">
      <c r="C80"/>
      <c r="D80"/>
      <c r="F80"/>
      <c r="G80"/>
    </row>
    <row r="81" spans="3:7" x14ac:dyDescent="0.3">
      <c r="C81"/>
      <c r="D81"/>
      <c r="F81"/>
      <c r="G81"/>
    </row>
    <row r="82" spans="3:7" x14ac:dyDescent="0.3">
      <c r="C82"/>
      <c r="D82"/>
      <c r="F82"/>
      <c r="G82"/>
    </row>
    <row r="83" spans="3:7" x14ac:dyDescent="0.3">
      <c r="C83"/>
      <c r="D83"/>
      <c r="F83"/>
      <c r="G83"/>
    </row>
    <row r="84" spans="3:7" x14ac:dyDescent="0.3">
      <c r="C84"/>
      <c r="D84"/>
      <c r="F84"/>
      <c r="G84"/>
    </row>
    <row r="85" spans="3:7" x14ac:dyDescent="0.3">
      <c r="C85"/>
      <c r="D85"/>
      <c r="F85"/>
      <c r="G85"/>
    </row>
    <row r="86" spans="3:7" x14ac:dyDescent="0.3">
      <c r="C86"/>
      <c r="D86"/>
      <c r="F86"/>
      <c r="G86"/>
    </row>
    <row r="87" spans="3:7" x14ac:dyDescent="0.3">
      <c r="C87"/>
      <c r="D87"/>
      <c r="F87"/>
      <c r="G87"/>
    </row>
    <row r="88" spans="3:7" x14ac:dyDescent="0.3">
      <c r="C88"/>
      <c r="D88"/>
      <c r="F88"/>
      <c r="G88"/>
    </row>
    <row r="89" spans="3:7" x14ac:dyDescent="0.3">
      <c r="C89"/>
      <c r="D89"/>
      <c r="F89"/>
      <c r="G89"/>
    </row>
    <row r="90" spans="3:7" x14ac:dyDescent="0.3">
      <c r="C90"/>
      <c r="D90"/>
      <c r="F90"/>
      <c r="G90"/>
    </row>
    <row r="91" spans="3:7" x14ac:dyDescent="0.3">
      <c r="C91"/>
      <c r="D91"/>
      <c r="F91"/>
      <c r="G91"/>
    </row>
    <row r="92" spans="3:7" x14ac:dyDescent="0.3">
      <c r="C92"/>
      <c r="D92"/>
      <c r="F92"/>
      <c r="G92"/>
    </row>
  </sheetData>
  <mergeCells count="2">
    <mergeCell ref="C3:E3"/>
    <mergeCell ref="F3:H3"/>
  </mergeCells>
  <conditionalFormatting pivot="1" sqref="E5:E15">
    <cfRule type="colorScale" priority="2">
      <colorScale>
        <cfvo type="num" val="0"/>
        <cfvo type="num" val="0.3"/>
        <cfvo type="num" val="0.5"/>
        <color rgb="FFFFC7CE"/>
        <color rgb="FFFFEB9C"/>
        <color rgb="FFC6EFCE"/>
      </colorScale>
    </cfRule>
  </conditionalFormatting>
  <conditionalFormatting pivot="1" sqref="H5:H15">
    <cfRule type="colorScale" priority="1">
      <colorScale>
        <cfvo type="num" val="0"/>
        <cfvo type="num" val="0.2"/>
        <color theme="0"/>
        <color rgb="FFC6EFCE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85A68-7D6A-4280-BBAF-4403D6490896}">
  <dimension ref="B3:Q34"/>
  <sheetViews>
    <sheetView showGridLines="0" tabSelected="1" zoomScale="95" zoomScaleNormal="95" workbookViewId="0">
      <selection activeCell="K39" sqref="K39"/>
    </sheetView>
  </sheetViews>
  <sheetFormatPr defaultRowHeight="14.4" x14ac:dyDescent="0.3"/>
  <cols>
    <col min="1" max="1" width="5.21875" customWidth="1"/>
    <col min="2" max="2" width="29.88671875" bestFit="1" customWidth="1"/>
    <col min="3" max="3" width="12" bestFit="1" customWidth="1"/>
    <col min="4" max="4" width="13.109375" bestFit="1" customWidth="1"/>
    <col min="5" max="5" width="11.77734375" bestFit="1" customWidth="1"/>
    <col min="6" max="6" width="13.109375" bestFit="1" customWidth="1"/>
    <col min="7" max="7" width="10.109375" bestFit="1" customWidth="1"/>
    <col min="8" max="8" width="11.88671875" bestFit="1" customWidth="1"/>
    <col min="9" max="9" width="9.33203125" bestFit="1" customWidth="1"/>
    <col min="10" max="10" width="10.44140625" bestFit="1" customWidth="1"/>
    <col min="11" max="11" width="10.33203125" bestFit="1" customWidth="1"/>
    <col min="12" max="12" width="11" bestFit="1" customWidth="1"/>
    <col min="13" max="13" width="13.77734375" bestFit="1" customWidth="1"/>
    <col min="14" max="14" width="12.77734375" bestFit="1" customWidth="1"/>
    <col min="15" max="15" width="12" bestFit="1" customWidth="1"/>
    <col min="16" max="16" width="13.109375" bestFit="1" customWidth="1"/>
    <col min="17" max="17" width="11.33203125" bestFit="1" customWidth="1"/>
    <col min="18" max="18" width="14.88671875" bestFit="1" customWidth="1"/>
    <col min="19" max="19" width="12.33203125" bestFit="1" customWidth="1"/>
    <col min="20" max="20" width="14.77734375" bestFit="1" customWidth="1"/>
    <col min="21" max="21" width="13" bestFit="1" customWidth="1"/>
    <col min="22" max="22" width="15.44140625" bestFit="1" customWidth="1"/>
    <col min="23" max="23" width="15.77734375" bestFit="1" customWidth="1"/>
    <col min="24" max="24" width="18.21875" bestFit="1" customWidth="1"/>
    <col min="25" max="25" width="14.77734375" bestFit="1" customWidth="1"/>
    <col min="26" max="26" width="17.33203125" bestFit="1" customWidth="1"/>
    <col min="27" max="27" width="14" bestFit="1" customWidth="1"/>
    <col min="28" max="28" width="16.44140625" bestFit="1" customWidth="1"/>
    <col min="29" max="29" width="15.109375" bestFit="1" customWidth="1"/>
    <col min="30" max="30" width="17.5546875" bestFit="1" customWidth="1"/>
    <col min="31" max="31" width="11.33203125" bestFit="1" customWidth="1"/>
  </cols>
  <sheetData>
    <row r="3" spans="2:17" s="33" customFormat="1" x14ac:dyDescent="0.3">
      <c r="B3" s="29" t="s">
        <v>33</v>
      </c>
      <c r="C3" s="30" t="s">
        <v>34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2"/>
    </row>
    <row r="4" spans="2:17" s="33" customFormat="1" x14ac:dyDescent="0.3">
      <c r="B4" s="34" t="s">
        <v>42</v>
      </c>
      <c r="C4" s="35" t="s">
        <v>8</v>
      </c>
      <c r="D4" s="36" t="s">
        <v>9</v>
      </c>
      <c r="E4" s="36" t="s">
        <v>11</v>
      </c>
      <c r="F4" s="36" t="s">
        <v>13</v>
      </c>
      <c r="G4" s="36" t="s">
        <v>18</v>
      </c>
      <c r="H4" s="36" t="s">
        <v>20</v>
      </c>
      <c r="I4" s="36" t="s">
        <v>16</v>
      </c>
      <c r="J4" s="36" t="s">
        <v>21</v>
      </c>
      <c r="K4" s="36" t="s">
        <v>22</v>
      </c>
      <c r="L4" s="36" t="s">
        <v>23</v>
      </c>
      <c r="M4" s="36" t="s">
        <v>24</v>
      </c>
      <c r="N4" s="36" t="s">
        <v>25</v>
      </c>
      <c r="O4" s="36" t="s">
        <v>26</v>
      </c>
      <c r="P4" s="36" t="s">
        <v>28</v>
      </c>
      <c r="Q4" s="37" t="s">
        <v>43</v>
      </c>
    </row>
    <row r="5" spans="2:17" x14ac:dyDescent="0.3">
      <c r="B5" s="19" t="s">
        <v>7</v>
      </c>
      <c r="C5" s="25">
        <v>0</v>
      </c>
      <c r="D5" s="26">
        <v>0</v>
      </c>
      <c r="E5" s="26">
        <v>0</v>
      </c>
      <c r="F5" s="26">
        <v>0</v>
      </c>
      <c r="G5" s="26">
        <v>0</v>
      </c>
      <c r="H5" s="26">
        <v>0</v>
      </c>
      <c r="I5" s="26">
        <v>0</v>
      </c>
      <c r="J5" s="26">
        <v>0</v>
      </c>
      <c r="K5" s="26">
        <v>0.29702970297029702</v>
      </c>
      <c r="L5" s="26">
        <v>0</v>
      </c>
      <c r="M5" s="26">
        <v>0</v>
      </c>
      <c r="N5" s="26">
        <v>0</v>
      </c>
      <c r="O5" s="26">
        <v>0.32406316285646947</v>
      </c>
      <c r="P5" s="26">
        <v>0.49538902917989636</v>
      </c>
      <c r="Q5" s="28">
        <v>7.9748706786190199E-2</v>
      </c>
    </row>
    <row r="6" spans="2:17" x14ac:dyDescent="0.3">
      <c r="B6" s="20" t="s">
        <v>15</v>
      </c>
      <c r="C6" s="27"/>
      <c r="D6" s="59">
        <v>0.15967301074170054</v>
      </c>
      <c r="E6" s="59"/>
      <c r="F6" s="59">
        <v>0</v>
      </c>
      <c r="G6" s="59">
        <v>0</v>
      </c>
      <c r="H6" s="59"/>
      <c r="I6" s="59">
        <v>0</v>
      </c>
      <c r="J6" s="59">
        <v>0</v>
      </c>
      <c r="K6" s="59">
        <v>0.38030979056784636</v>
      </c>
      <c r="L6" s="59">
        <v>1</v>
      </c>
      <c r="M6" s="59"/>
      <c r="N6" s="59"/>
      <c r="O6" s="59"/>
      <c r="P6" s="59"/>
      <c r="Q6" s="12">
        <v>0.21999754304422098</v>
      </c>
    </row>
    <row r="7" spans="2:17" x14ac:dyDescent="0.3">
      <c r="B7" s="20" t="s">
        <v>19</v>
      </c>
      <c r="C7" s="27"/>
      <c r="D7" s="59"/>
      <c r="E7" s="59"/>
      <c r="F7" s="59"/>
      <c r="G7" s="59">
        <v>0</v>
      </c>
      <c r="H7" s="59"/>
      <c r="I7" s="59"/>
      <c r="J7" s="59"/>
      <c r="K7" s="59"/>
      <c r="L7" s="59"/>
      <c r="M7" s="59"/>
      <c r="N7" s="59">
        <v>1.0275181473057404</v>
      </c>
      <c r="O7" s="59">
        <v>0.27401166435505364</v>
      </c>
      <c r="P7" s="59">
        <v>0.78552895731497585</v>
      </c>
      <c r="Q7" s="12">
        <v>0.52176469224394251</v>
      </c>
    </row>
    <row r="8" spans="2:17" x14ac:dyDescent="0.3">
      <c r="B8" s="20" t="s">
        <v>10</v>
      </c>
      <c r="C8" s="27">
        <v>0</v>
      </c>
      <c r="D8" s="59">
        <v>0</v>
      </c>
      <c r="E8" s="59">
        <v>1</v>
      </c>
      <c r="F8" s="59"/>
      <c r="G8" s="59"/>
      <c r="H8" s="59"/>
      <c r="I8" s="59">
        <v>0</v>
      </c>
      <c r="J8" s="59">
        <v>0.61755894229516739</v>
      </c>
      <c r="K8" s="59"/>
      <c r="L8" s="59">
        <v>0</v>
      </c>
      <c r="M8" s="59">
        <v>0</v>
      </c>
      <c r="N8" s="59"/>
      <c r="O8" s="59">
        <v>0</v>
      </c>
      <c r="P8" s="59">
        <v>0.65793350623379054</v>
      </c>
      <c r="Q8" s="12">
        <v>0.2528324942809953</v>
      </c>
    </row>
    <row r="9" spans="2:17" x14ac:dyDescent="0.3">
      <c r="B9" s="20" t="s">
        <v>27</v>
      </c>
      <c r="C9" s="27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>
        <v>1.1111818218738578</v>
      </c>
      <c r="P9" s="59"/>
      <c r="Q9" s="12">
        <v>1.1111818218738578</v>
      </c>
    </row>
    <row r="10" spans="2:17" x14ac:dyDescent="0.3">
      <c r="B10" s="20" t="s">
        <v>17</v>
      </c>
      <c r="C10" s="27">
        <v>0</v>
      </c>
      <c r="D10" s="59">
        <v>0</v>
      </c>
      <c r="E10" s="59">
        <v>0</v>
      </c>
      <c r="F10" s="59">
        <v>0</v>
      </c>
      <c r="G10" s="59">
        <v>0</v>
      </c>
      <c r="H10" s="59">
        <v>0</v>
      </c>
      <c r="I10" s="59">
        <v>0</v>
      </c>
      <c r="J10" s="59">
        <v>0</v>
      </c>
      <c r="K10" s="59">
        <v>0.30895287208136368</v>
      </c>
      <c r="L10" s="59">
        <v>0</v>
      </c>
      <c r="M10" s="59">
        <v>0.76150987421916061</v>
      </c>
      <c r="N10" s="59"/>
      <c r="O10" s="59">
        <v>0.60012382805589948</v>
      </c>
      <c r="P10" s="59">
        <v>0.41258947259339779</v>
      </c>
      <c r="Q10" s="12">
        <v>0.16024431130383243</v>
      </c>
    </row>
    <row r="11" spans="2:17" x14ac:dyDescent="0.3">
      <c r="B11" s="20" t="s">
        <v>14</v>
      </c>
      <c r="C11" s="27"/>
      <c r="D11" s="59">
        <v>0</v>
      </c>
      <c r="E11" s="59">
        <v>0</v>
      </c>
      <c r="F11" s="59"/>
      <c r="G11" s="59"/>
      <c r="H11" s="59"/>
      <c r="I11" s="59">
        <v>0</v>
      </c>
      <c r="J11" s="59">
        <v>0</v>
      </c>
      <c r="K11" s="59">
        <v>0</v>
      </c>
      <c r="L11" s="59">
        <v>0.54517596268743018</v>
      </c>
      <c r="M11" s="59">
        <v>1.0504796463590549</v>
      </c>
      <c r="N11" s="59">
        <v>0</v>
      </c>
      <c r="O11" s="59">
        <v>0.2040383983001543</v>
      </c>
      <c r="P11" s="59">
        <v>0.40707648656146272</v>
      </c>
      <c r="Q11" s="12">
        <v>0.2206770493908102</v>
      </c>
    </row>
    <row r="12" spans="2:17" x14ac:dyDescent="0.3">
      <c r="B12" s="20" t="s">
        <v>12</v>
      </c>
      <c r="C12" s="27">
        <v>0</v>
      </c>
      <c r="D12" s="59">
        <v>0.17218064861936491</v>
      </c>
      <c r="E12" s="59">
        <v>0.52541051587187571</v>
      </c>
      <c r="F12" s="59">
        <v>0</v>
      </c>
      <c r="G12" s="59">
        <v>0</v>
      </c>
      <c r="H12" s="59">
        <v>0</v>
      </c>
      <c r="I12" s="59">
        <v>0</v>
      </c>
      <c r="J12" s="59">
        <v>7.9270330929755023E-2</v>
      </c>
      <c r="K12" s="59">
        <v>0</v>
      </c>
      <c r="L12" s="59">
        <v>0.24762178085098541</v>
      </c>
      <c r="M12" s="59">
        <v>0</v>
      </c>
      <c r="N12" s="59">
        <v>0.27059053578412201</v>
      </c>
      <c r="O12" s="59">
        <v>0.79106148159716805</v>
      </c>
      <c r="P12" s="59">
        <v>0.40341981905119889</v>
      </c>
      <c r="Q12" s="12">
        <v>0.17782536519317643</v>
      </c>
    </row>
    <row r="13" spans="2:17" x14ac:dyDescent="0.3">
      <c r="B13" s="20" t="s">
        <v>29</v>
      </c>
      <c r="C13" s="27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>
        <v>0</v>
      </c>
      <c r="Q13" s="12">
        <v>0</v>
      </c>
    </row>
    <row r="14" spans="2:17" x14ac:dyDescent="0.3">
      <c r="B14" s="20" t="s">
        <v>30</v>
      </c>
      <c r="C14" s="27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>
        <v>0</v>
      </c>
      <c r="Q14" s="12">
        <v>0</v>
      </c>
    </row>
    <row r="15" spans="2:17" x14ac:dyDescent="0.3">
      <c r="B15" s="64" t="s">
        <v>43</v>
      </c>
      <c r="C15" s="60">
        <v>0</v>
      </c>
      <c r="D15" s="60">
        <v>5.5308943226844244E-2</v>
      </c>
      <c r="E15" s="60">
        <v>0.30508210317437517</v>
      </c>
      <c r="F15" s="60">
        <v>0</v>
      </c>
      <c r="G15" s="60">
        <v>0</v>
      </c>
      <c r="H15" s="60">
        <v>0</v>
      </c>
      <c r="I15" s="60">
        <v>0</v>
      </c>
      <c r="J15" s="60">
        <v>0.11613821220415373</v>
      </c>
      <c r="K15" s="60">
        <v>0.19725847312390141</v>
      </c>
      <c r="L15" s="60">
        <v>0.29879962392306925</v>
      </c>
      <c r="M15" s="60">
        <v>0.3623979041156431</v>
      </c>
      <c r="N15" s="60">
        <v>0.32452717077246562</v>
      </c>
      <c r="O15" s="60">
        <v>0.47206862243408609</v>
      </c>
      <c r="P15" s="60">
        <v>0.39524215886684022</v>
      </c>
      <c r="Q15" s="61">
        <v>0.20148242417915119</v>
      </c>
    </row>
    <row r="22" spans="2:17" x14ac:dyDescent="0.3">
      <c r="B22" s="21" t="s">
        <v>35</v>
      </c>
      <c r="C22" s="13" t="s">
        <v>34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4"/>
    </row>
    <row r="23" spans="2:17" x14ac:dyDescent="0.3">
      <c r="B23" s="22" t="s">
        <v>42</v>
      </c>
      <c r="C23" s="62" t="s">
        <v>8</v>
      </c>
      <c r="D23" s="62" t="s">
        <v>9</v>
      </c>
      <c r="E23" s="62" t="s">
        <v>11</v>
      </c>
      <c r="F23" s="62" t="s">
        <v>13</v>
      </c>
      <c r="G23" s="62" t="s">
        <v>18</v>
      </c>
      <c r="H23" s="62" t="s">
        <v>20</v>
      </c>
      <c r="I23" s="62" t="s">
        <v>16</v>
      </c>
      <c r="J23" s="62" t="s">
        <v>21</v>
      </c>
      <c r="K23" s="62" t="s">
        <v>22</v>
      </c>
      <c r="L23" s="62" t="s">
        <v>23</v>
      </c>
      <c r="M23" s="62" t="s">
        <v>24</v>
      </c>
      <c r="N23" s="62" t="s">
        <v>25</v>
      </c>
      <c r="O23" s="62" t="s">
        <v>26</v>
      </c>
      <c r="P23" s="62" t="s">
        <v>28</v>
      </c>
      <c r="Q23" s="15" t="s">
        <v>43</v>
      </c>
    </row>
    <row r="24" spans="2:17" x14ac:dyDescent="0.3">
      <c r="B24" s="23" t="s">
        <v>7</v>
      </c>
      <c r="C24" s="58">
        <v>0</v>
      </c>
      <c r="D24" s="58">
        <v>0.20542288899593972</v>
      </c>
      <c r="E24" s="58">
        <v>0</v>
      </c>
      <c r="F24" s="58">
        <v>0</v>
      </c>
      <c r="G24" s="58">
        <v>0</v>
      </c>
      <c r="H24" s="58">
        <v>0</v>
      </c>
      <c r="I24" s="58">
        <v>0</v>
      </c>
      <c r="J24" s="58">
        <v>0</v>
      </c>
      <c r="K24" s="58">
        <v>0</v>
      </c>
      <c r="L24" s="58">
        <v>0</v>
      </c>
      <c r="M24" s="58">
        <v>0</v>
      </c>
      <c r="N24" s="58">
        <v>0.48485855522784865</v>
      </c>
      <c r="O24" s="58">
        <v>0</v>
      </c>
      <c r="P24" s="58">
        <v>0.12241983866074026</v>
      </c>
      <c r="Q24" s="16">
        <v>5.8050091634609183E-2</v>
      </c>
    </row>
    <row r="25" spans="2:17" x14ac:dyDescent="0.3">
      <c r="B25" s="23" t="s">
        <v>15</v>
      </c>
      <c r="C25" s="58"/>
      <c r="D25" s="58">
        <v>0</v>
      </c>
      <c r="E25" s="58"/>
      <c r="F25" s="58">
        <v>0</v>
      </c>
      <c r="G25" s="58">
        <v>0</v>
      </c>
      <c r="H25" s="58"/>
      <c r="I25" s="58">
        <v>0</v>
      </c>
      <c r="J25" s="58">
        <v>0</v>
      </c>
      <c r="K25" s="58">
        <v>0</v>
      </c>
      <c r="L25" s="58">
        <v>0</v>
      </c>
      <c r="M25" s="58"/>
      <c r="N25" s="58"/>
      <c r="O25" s="58"/>
      <c r="P25" s="58"/>
      <c r="Q25" s="16">
        <v>0</v>
      </c>
    </row>
    <row r="26" spans="2:17" x14ac:dyDescent="0.3">
      <c r="B26" s="23" t="s">
        <v>19</v>
      </c>
      <c r="C26" s="58"/>
      <c r="D26" s="58"/>
      <c r="E26" s="58"/>
      <c r="F26" s="58"/>
      <c r="G26" s="58">
        <v>0</v>
      </c>
      <c r="H26" s="58"/>
      <c r="I26" s="58"/>
      <c r="J26" s="58"/>
      <c r="K26" s="58"/>
      <c r="L26" s="58"/>
      <c r="M26" s="58"/>
      <c r="N26" s="58">
        <v>0</v>
      </c>
      <c r="O26" s="58">
        <v>0</v>
      </c>
      <c r="P26" s="58">
        <v>0</v>
      </c>
      <c r="Q26" s="16">
        <v>0</v>
      </c>
    </row>
    <row r="27" spans="2:17" x14ac:dyDescent="0.3">
      <c r="B27" s="23" t="s">
        <v>10</v>
      </c>
      <c r="C27" s="58">
        <v>0</v>
      </c>
      <c r="D27" s="58">
        <v>0</v>
      </c>
      <c r="E27" s="58">
        <v>0</v>
      </c>
      <c r="F27" s="58"/>
      <c r="G27" s="58"/>
      <c r="H27" s="58"/>
      <c r="I27" s="58">
        <v>0</v>
      </c>
      <c r="J27" s="58">
        <v>0</v>
      </c>
      <c r="K27" s="58"/>
      <c r="L27" s="58">
        <v>0</v>
      </c>
      <c r="M27" s="58">
        <v>0</v>
      </c>
      <c r="N27" s="58"/>
      <c r="O27" s="58">
        <v>0</v>
      </c>
      <c r="P27" s="58">
        <v>1.0326259345970847</v>
      </c>
      <c r="Q27" s="16">
        <v>0.11473621495523163</v>
      </c>
    </row>
    <row r="28" spans="2:17" x14ac:dyDescent="0.3">
      <c r="B28" s="23" t="s">
        <v>27</v>
      </c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>
        <v>0</v>
      </c>
      <c r="P28" s="58"/>
      <c r="Q28" s="16">
        <v>0</v>
      </c>
    </row>
    <row r="29" spans="2:17" x14ac:dyDescent="0.3">
      <c r="B29" s="23" t="s">
        <v>17</v>
      </c>
      <c r="C29" s="58">
        <v>0</v>
      </c>
      <c r="D29" s="58">
        <v>0</v>
      </c>
      <c r="E29" s="58">
        <v>0</v>
      </c>
      <c r="F29" s="58">
        <v>0</v>
      </c>
      <c r="G29" s="58">
        <v>0</v>
      </c>
      <c r="H29" s="58">
        <v>0</v>
      </c>
      <c r="I29" s="58">
        <v>0</v>
      </c>
      <c r="J29" s="58">
        <v>0</v>
      </c>
      <c r="K29" s="58">
        <v>0</v>
      </c>
      <c r="L29" s="58">
        <v>0.62172787821122744</v>
      </c>
      <c r="M29" s="58">
        <v>0.18983704707231355</v>
      </c>
      <c r="N29" s="58"/>
      <c r="O29" s="58">
        <v>0.90808538878442646</v>
      </c>
      <c r="P29" s="58">
        <v>0</v>
      </c>
      <c r="Q29" s="16">
        <v>0.13228079338984364</v>
      </c>
    </row>
    <row r="30" spans="2:17" x14ac:dyDescent="0.3">
      <c r="B30" s="23" t="s">
        <v>14</v>
      </c>
      <c r="C30" s="58"/>
      <c r="D30" s="58">
        <v>0</v>
      </c>
      <c r="E30" s="58">
        <v>1.1505208333333334</v>
      </c>
      <c r="F30" s="58"/>
      <c r="G30" s="58"/>
      <c r="H30" s="58"/>
      <c r="I30" s="58">
        <v>0.51627914417533172</v>
      </c>
      <c r="J30" s="58">
        <v>0</v>
      </c>
      <c r="K30" s="58">
        <v>0</v>
      </c>
      <c r="L30" s="58">
        <v>0</v>
      </c>
      <c r="M30" s="58">
        <v>0</v>
      </c>
      <c r="N30" s="58">
        <v>0</v>
      </c>
      <c r="O30" s="58">
        <v>0.23236513455682659</v>
      </c>
      <c r="P30" s="58">
        <v>0.21895682187557597</v>
      </c>
      <c r="Q30" s="16">
        <v>0.21181219339410678</v>
      </c>
    </row>
    <row r="31" spans="2:17" x14ac:dyDescent="0.3">
      <c r="B31" s="23" t="s">
        <v>12</v>
      </c>
      <c r="C31" s="58">
        <v>0</v>
      </c>
      <c r="D31" s="58">
        <v>0.11798517325932516</v>
      </c>
      <c r="E31" s="58">
        <v>0</v>
      </c>
      <c r="F31" s="58">
        <v>0</v>
      </c>
      <c r="G31" s="58">
        <v>0</v>
      </c>
      <c r="H31" s="58">
        <v>0</v>
      </c>
      <c r="I31" s="58">
        <v>0</v>
      </c>
      <c r="J31" s="58">
        <v>0</v>
      </c>
      <c r="K31" s="58">
        <v>0</v>
      </c>
      <c r="L31" s="58">
        <v>0</v>
      </c>
      <c r="M31" s="58">
        <v>0</v>
      </c>
      <c r="N31" s="58">
        <v>0</v>
      </c>
      <c r="O31" s="58">
        <v>0</v>
      </c>
      <c r="P31" s="58">
        <v>0</v>
      </c>
      <c r="Q31" s="16">
        <v>8.4275123756660832E-3</v>
      </c>
    </row>
    <row r="32" spans="2:17" x14ac:dyDescent="0.3">
      <c r="B32" s="23" t="s">
        <v>29</v>
      </c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>
        <v>0</v>
      </c>
      <c r="Q32" s="16">
        <v>0</v>
      </c>
    </row>
    <row r="33" spans="2:17" x14ac:dyDescent="0.3">
      <c r="B33" s="23" t="s">
        <v>30</v>
      </c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>
        <v>0</v>
      </c>
      <c r="Q33" s="16">
        <v>0</v>
      </c>
    </row>
    <row r="34" spans="2:17" x14ac:dyDescent="0.3">
      <c r="B34" s="63" t="s">
        <v>43</v>
      </c>
      <c r="C34" s="17">
        <v>0</v>
      </c>
      <c r="D34" s="17">
        <v>5.3901343709210812E-2</v>
      </c>
      <c r="E34" s="17">
        <v>0.23010416666666669</v>
      </c>
      <c r="F34" s="17">
        <v>0</v>
      </c>
      <c r="G34" s="17">
        <v>0</v>
      </c>
      <c r="H34" s="17">
        <v>0</v>
      </c>
      <c r="I34" s="17">
        <v>8.6046524029221957E-2</v>
      </c>
      <c r="J34" s="17">
        <v>0</v>
      </c>
      <c r="K34" s="17">
        <v>0</v>
      </c>
      <c r="L34" s="17">
        <v>0.10362131303520457</v>
      </c>
      <c r="M34" s="17">
        <v>3.7967409414462708E-2</v>
      </c>
      <c r="N34" s="17">
        <v>0.12121463880696216</v>
      </c>
      <c r="O34" s="17">
        <v>0.1629215033344647</v>
      </c>
      <c r="P34" s="17">
        <v>0.17175032439167512</v>
      </c>
      <c r="Q34" s="18">
        <v>7.839303565878343E-2</v>
      </c>
    </row>
  </sheetData>
  <conditionalFormatting pivot="1" sqref="C5:Q15">
    <cfRule type="colorScale" priority="2">
      <colorScale>
        <cfvo type="num" val="0.1"/>
        <cfvo type="num" val="0.4"/>
        <cfvo type="num" val="0.8"/>
        <color rgb="FFFFC7CE"/>
        <color rgb="FFFFEB9C"/>
        <color rgb="FFC6EFCE"/>
      </colorScale>
    </cfRule>
  </conditionalFormatting>
  <conditionalFormatting pivot="1" sqref="C24:Q34">
    <cfRule type="colorScale" priority="1">
      <colorScale>
        <cfvo type="num" val="0.05"/>
        <cfvo type="num" val="0.6"/>
        <color theme="0"/>
        <color rgb="FFC6EFCE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BB557-C1BE-4417-9664-76FBA6E6D12B}">
  <dimension ref="A1:I75"/>
  <sheetViews>
    <sheetView topLeftCell="A2" workbookViewId="0">
      <selection activeCell="E8" sqref="E8"/>
    </sheetView>
  </sheetViews>
  <sheetFormatPr defaultRowHeight="14.4" x14ac:dyDescent="0.3"/>
  <cols>
    <col min="1" max="1" width="30.44140625" customWidth="1"/>
    <col min="2" max="2" width="19" customWidth="1"/>
    <col min="3" max="3" width="20.88671875" customWidth="1"/>
    <col min="4" max="4" width="23.33203125" customWidth="1"/>
    <col min="5" max="5" width="25.6640625" customWidth="1"/>
    <col min="6" max="6" width="26.77734375" customWidth="1"/>
    <col min="7" max="7" width="16.21875" customWidth="1"/>
    <col min="8" max="9" width="16.33203125" style="3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31</v>
      </c>
      <c r="I1" s="1" t="s">
        <v>32</v>
      </c>
    </row>
    <row r="2" spans="1:9" x14ac:dyDescent="0.3">
      <c r="A2" s="1" t="s">
        <v>7</v>
      </c>
      <c r="B2" s="2">
        <v>202211</v>
      </c>
      <c r="C2" s="1">
        <v>260862</v>
      </c>
      <c r="D2" s="1">
        <v>0</v>
      </c>
      <c r="E2" s="1">
        <v>0</v>
      </c>
      <c r="F2" s="1">
        <v>260862</v>
      </c>
      <c r="G2" s="1" t="s">
        <v>8</v>
      </c>
      <c r="H2" s="3">
        <f>IFERROR($D2/$C2,0)</f>
        <v>0</v>
      </c>
      <c r="I2" s="3">
        <f>IFERROR($E2/$F2,0)</f>
        <v>0</v>
      </c>
    </row>
    <row r="3" spans="1:9" x14ac:dyDescent="0.3">
      <c r="A3" s="1" t="s">
        <v>7</v>
      </c>
      <c r="B3" s="2">
        <v>202212</v>
      </c>
      <c r="C3" s="1">
        <v>217965</v>
      </c>
      <c r="D3" s="1">
        <v>0</v>
      </c>
      <c r="E3" s="1">
        <v>44775</v>
      </c>
      <c r="F3" s="1">
        <v>217965</v>
      </c>
      <c r="G3" s="1" t="s">
        <v>9</v>
      </c>
      <c r="H3" s="3">
        <f t="shared" ref="H3:H66" si="0">IFERROR($D3/$C3,0)</f>
        <v>0</v>
      </c>
      <c r="I3" s="3">
        <f t="shared" ref="I3:I66" si="1">IFERROR($E3/$F3,0)</f>
        <v>0.20542288899593972</v>
      </c>
    </row>
    <row r="4" spans="1:9" x14ac:dyDescent="0.3">
      <c r="A4" s="1" t="s">
        <v>10</v>
      </c>
      <c r="B4" s="2">
        <v>202301</v>
      </c>
      <c r="C4" s="1">
        <v>674000</v>
      </c>
      <c r="D4" s="1">
        <v>674000</v>
      </c>
      <c r="E4" s="1">
        <v>0</v>
      </c>
      <c r="F4" s="1">
        <v>0</v>
      </c>
      <c r="G4" s="1" t="s">
        <v>11</v>
      </c>
      <c r="H4" s="3">
        <f t="shared" si="0"/>
        <v>1</v>
      </c>
      <c r="I4" s="3">
        <f t="shared" si="1"/>
        <v>0</v>
      </c>
    </row>
    <row r="5" spans="1:9" x14ac:dyDescent="0.3">
      <c r="A5" s="1" t="s">
        <v>12</v>
      </c>
      <c r="B5" s="2">
        <v>202212</v>
      </c>
      <c r="C5" s="1">
        <v>487162.76</v>
      </c>
      <c r="D5" s="1">
        <v>83880</v>
      </c>
      <c r="E5" s="1">
        <v>46995</v>
      </c>
      <c r="F5" s="1">
        <v>398312.76</v>
      </c>
      <c r="G5" s="1" t="s">
        <v>9</v>
      </c>
      <c r="H5" s="3">
        <f t="shared" si="0"/>
        <v>0.17218064861936491</v>
      </c>
      <c r="I5" s="3">
        <f t="shared" si="1"/>
        <v>0.11798517325932516</v>
      </c>
    </row>
    <row r="6" spans="1:9" x14ac:dyDescent="0.3">
      <c r="A6" s="1" t="s">
        <v>7</v>
      </c>
      <c r="B6" s="2">
        <v>202302</v>
      </c>
      <c r="C6" s="1">
        <v>324580</v>
      </c>
      <c r="D6" s="1">
        <v>0</v>
      </c>
      <c r="E6" s="1">
        <v>0</v>
      </c>
      <c r="F6" s="1">
        <v>324580</v>
      </c>
      <c r="G6" s="1" t="s">
        <v>13</v>
      </c>
      <c r="H6" s="3">
        <f t="shared" si="0"/>
        <v>0</v>
      </c>
      <c r="I6" s="3">
        <f t="shared" si="1"/>
        <v>0</v>
      </c>
    </row>
    <row r="7" spans="1:9" x14ac:dyDescent="0.3">
      <c r="A7" s="1" t="s">
        <v>14</v>
      </c>
      <c r="B7" s="2">
        <v>202301</v>
      </c>
      <c r="C7" s="1">
        <v>48000</v>
      </c>
      <c r="D7" s="1">
        <v>0</v>
      </c>
      <c r="E7" s="1">
        <v>55225</v>
      </c>
      <c r="F7" s="1">
        <v>48000</v>
      </c>
      <c r="G7" s="1" t="s">
        <v>11</v>
      </c>
      <c r="H7" s="3">
        <f t="shared" si="0"/>
        <v>0</v>
      </c>
      <c r="I7" s="3">
        <f t="shared" si="1"/>
        <v>1.1505208333333334</v>
      </c>
    </row>
    <row r="8" spans="1:9" x14ac:dyDescent="0.3">
      <c r="A8" s="1" t="s">
        <v>12</v>
      </c>
      <c r="B8" s="2">
        <v>202301</v>
      </c>
      <c r="C8" s="1">
        <v>261043.5</v>
      </c>
      <c r="D8" s="1">
        <v>137155</v>
      </c>
      <c r="E8" s="1">
        <v>0</v>
      </c>
      <c r="F8" s="1">
        <v>99958.5</v>
      </c>
      <c r="G8" s="1" t="s">
        <v>11</v>
      </c>
      <c r="H8" s="3">
        <f t="shared" si="0"/>
        <v>0.52541051587187571</v>
      </c>
      <c r="I8" s="3">
        <f t="shared" si="1"/>
        <v>0</v>
      </c>
    </row>
    <row r="9" spans="1:9" x14ac:dyDescent="0.3">
      <c r="A9" s="1" t="s">
        <v>15</v>
      </c>
      <c r="B9" s="2">
        <v>202212</v>
      </c>
      <c r="C9" s="1">
        <v>1525565.71</v>
      </c>
      <c r="D9" s="1">
        <v>243591.67</v>
      </c>
      <c r="E9" s="1">
        <v>0</v>
      </c>
      <c r="F9" s="1">
        <v>1229435</v>
      </c>
      <c r="G9" s="1" t="s">
        <v>9</v>
      </c>
      <c r="H9" s="3">
        <f t="shared" si="0"/>
        <v>0.15967301074170054</v>
      </c>
      <c r="I9" s="3">
        <f t="shared" si="1"/>
        <v>0</v>
      </c>
    </row>
    <row r="10" spans="1:9" x14ac:dyDescent="0.3">
      <c r="A10" s="1" t="s">
        <v>14</v>
      </c>
      <c r="B10" s="2">
        <v>202305</v>
      </c>
      <c r="C10" s="1">
        <v>134394.35</v>
      </c>
      <c r="D10" s="1">
        <v>0</v>
      </c>
      <c r="E10" s="1">
        <v>69385</v>
      </c>
      <c r="F10" s="1">
        <v>134394.35</v>
      </c>
      <c r="G10" s="1" t="s">
        <v>16</v>
      </c>
      <c r="H10" s="3">
        <f t="shared" si="0"/>
        <v>0</v>
      </c>
      <c r="I10" s="3">
        <f t="shared" si="1"/>
        <v>0.51627914417533172</v>
      </c>
    </row>
    <row r="11" spans="1:9" x14ac:dyDescent="0.3">
      <c r="A11" s="1" t="s">
        <v>12</v>
      </c>
      <c r="B11" s="2">
        <v>202211</v>
      </c>
      <c r="C11" s="1">
        <v>38045</v>
      </c>
      <c r="D11" s="1">
        <v>0</v>
      </c>
      <c r="E11" s="1">
        <v>0</v>
      </c>
      <c r="F11" s="1">
        <v>38045</v>
      </c>
      <c r="G11" s="1" t="s">
        <v>8</v>
      </c>
      <c r="H11" s="3">
        <f t="shared" si="0"/>
        <v>0</v>
      </c>
      <c r="I11" s="3">
        <f t="shared" si="1"/>
        <v>0</v>
      </c>
    </row>
    <row r="12" spans="1:9" x14ac:dyDescent="0.3">
      <c r="A12" s="1" t="s">
        <v>17</v>
      </c>
      <c r="B12" s="2">
        <v>202211</v>
      </c>
      <c r="C12" s="1">
        <v>82800</v>
      </c>
      <c r="D12" s="1">
        <v>0</v>
      </c>
      <c r="E12" s="1">
        <v>0</v>
      </c>
      <c r="F12" s="1">
        <v>82800</v>
      </c>
      <c r="G12" s="1" t="s">
        <v>8</v>
      </c>
      <c r="H12" s="3">
        <f t="shared" si="0"/>
        <v>0</v>
      </c>
      <c r="I12" s="3">
        <f t="shared" si="1"/>
        <v>0</v>
      </c>
    </row>
    <row r="13" spans="1:9" x14ac:dyDescent="0.3">
      <c r="A13" s="1" t="s">
        <v>12</v>
      </c>
      <c r="B13" s="2">
        <v>202302</v>
      </c>
      <c r="C13" s="1">
        <v>42830</v>
      </c>
      <c r="D13" s="1">
        <v>0</v>
      </c>
      <c r="E13" s="1">
        <v>0</v>
      </c>
      <c r="F13" s="1">
        <v>42830</v>
      </c>
      <c r="G13" s="1" t="s">
        <v>13</v>
      </c>
      <c r="H13" s="3">
        <f t="shared" si="0"/>
        <v>0</v>
      </c>
      <c r="I13" s="3">
        <f t="shared" si="1"/>
        <v>0</v>
      </c>
    </row>
    <row r="14" spans="1:9" x14ac:dyDescent="0.3">
      <c r="A14" s="1" t="s">
        <v>10</v>
      </c>
      <c r="B14" s="2">
        <v>202211</v>
      </c>
      <c r="C14" s="1">
        <v>41025</v>
      </c>
      <c r="D14" s="1">
        <v>0</v>
      </c>
      <c r="E14" s="1">
        <v>0</v>
      </c>
      <c r="F14" s="1">
        <v>41025</v>
      </c>
      <c r="G14" s="1" t="s">
        <v>8</v>
      </c>
      <c r="H14" s="3">
        <f t="shared" si="0"/>
        <v>0</v>
      </c>
      <c r="I14" s="3">
        <f t="shared" si="1"/>
        <v>0</v>
      </c>
    </row>
    <row r="15" spans="1:9" x14ac:dyDescent="0.3">
      <c r="A15" s="1" t="s">
        <v>17</v>
      </c>
      <c r="B15" s="2">
        <v>202212</v>
      </c>
      <c r="C15" s="1">
        <v>137125</v>
      </c>
      <c r="D15" s="1">
        <v>0</v>
      </c>
      <c r="E15" s="1">
        <v>0</v>
      </c>
      <c r="F15" s="1">
        <v>137125</v>
      </c>
      <c r="G15" s="1" t="s">
        <v>9</v>
      </c>
      <c r="H15" s="3">
        <f t="shared" si="0"/>
        <v>0</v>
      </c>
      <c r="I15" s="3">
        <f t="shared" si="1"/>
        <v>0</v>
      </c>
    </row>
    <row r="16" spans="1:9" x14ac:dyDescent="0.3">
      <c r="A16" s="1" t="s">
        <v>10</v>
      </c>
      <c r="B16" s="2">
        <v>202212</v>
      </c>
      <c r="C16" s="1">
        <v>147140</v>
      </c>
      <c r="D16" s="1">
        <v>0</v>
      </c>
      <c r="E16" s="1">
        <v>0</v>
      </c>
      <c r="F16" s="1">
        <v>147140</v>
      </c>
      <c r="G16" s="1" t="s">
        <v>9</v>
      </c>
      <c r="H16" s="3">
        <f t="shared" si="0"/>
        <v>0</v>
      </c>
      <c r="I16" s="3">
        <f t="shared" si="1"/>
        <v>0</v>
      </c>
    </row>
    <row r="17" spans="1:9" x14ac:dyDescent="0.3">
      <c r="A17" s="1" t="s">
        <v>14</v>
      </c>
      <c r="B17" s="2">
        <v>202212</v>
      </c>
      <c r="C17" s="1">
        <v>38295</v>
      </c>
      <c r="D17" s="1">
        <v>0</v>
      </c>
      <c r="E17" s="1">
        <v>0</v>
      </c>
      <c r="F17" s="1">
        <v>38295</v>
      </c>
      <c r="G17" s="1" t="s">
        <v>9</v>
      </c>
      <c r="H17" s="3">
        <f t="shared" si="0"/>
        <v>0</v>
      </c>
      <c r="I17" s="3">
        <f t="shared" si="1"/>
        <v>0</v>
      </c>
    </row>
    <row r="18" spans="1:9" x14ac:dyDescent="0.3">
      <c r="A18" s="1" t="s">
        <v>7</v>
      </c>
      <c r="B18" s="2">
        <v>202301</v>
      </c>
      <c r="C18" s="1">
        <v>60900</v>
      </c>
      <c r="D18" s="1">
        <v>0</v>
      </c>
      <c r="E18" s="1">
        <v>0</v>
      </c>
      <c r="F18" s="1">
        <v>60900</v>
      </c>
      <c r="G18" s="1" t="s">
        <v>11</v>
      </c>
      <c r="H18" s="3">
        <f t="shared" si="0"/>
        <v>0</v>
      </c>
      <c r="I18" s="3">
        <f t="shared" si="1"/>
        <v>0</v>
      </c>
    </row>
    <row r="19" spans="1:9" x14ac:dyDescent="0.3">
      <c r="A19" s="1" t="s">
        <v>7</v>
      </c>
      <c r="B19" s="2">
        <v>202303</v>
      </c>
      <c r="C19" s="1">
        <v>333583</v>
      </c>
      <c r="D19" s="1">
        <v>0</v>
      </c>
      <c r="E19" s="1">
        <v>0</v>
      </c>
      <c r="F19" s="1">
        <v>333583</v>
      </c>
      <c r="G19" s="1" t="s">
        <v>18</v>
      </c>
      <c r="H19" s="3">
        <f t="shared" si="0"/>
        <v>0</v>
      </c>
      <c r="I19" s="3">
        <f t="shared" si="1"/>
        <v>0</v>
      </c>
    </row>
    <row r="20" spans="1:9" x14ac:dyDescent="0.3">
      <c r="A20" s="1" t="s">
        <v>17</v>
      </c>
      <c r="B20" s="2">
        <v>202301</v>
      </c>
      <c r="C20" s="1">
        <v>193877</v>
      </c>
      <c r="D20" s="1">
        <v>0</v>
      </c>
      <c r="E20" s="1">
        <v>0</v>
      </c>
      <c r="F20" s="1">
        <v>193877</v>
      </c>
      <c r="G20" s="1" t="s">
        <v>11</v>
      </c>
      <c r="H20" s="3">
        <f t="shared" si="0"/>
        <v>0</v>
      </c>
      <c r="I20" s="3">
        <f t="shared" si="1"/>
        <v>0</v>
      </c>
    </row>
    <row r="21" spans="1:9" x14ac:dyDescent="0.3">
      <c r="A21" s="1" t="s">
        <v>17</v>
      </c>
      <c r="B21" s="2">
        <v>202302</v>
      </c>
      <c r="C21" s="1">
        <v>78065</v>
      </c>
      <c r="D21" s="1">
        <v>0</v>
      </c>
      <c r="E21" s="1">
        <v>0</v>
      </c>
      <c r="F21" s="1">
        <v>78065</v>
      </c>
      <c r="G21" s="1" t="s">
        <v>13</v>
      </c>
      <c r="H21" s="3">
        <f t="shared" si="0"/>
        <v>0</v>
      </c>
      <c r="I21" s="3">
        <f t="shared" si="1"/>
        <v>0</v>
      </c>
    </row>
    <row r="22" spans="1:9" x14ac:dyDescent="0.3">
      <c r="A22" s="1" t="s">
        <v>15</v>
      </c>
      <c r="B22" s="2">
        <v>202302</v>
      </c>
      <c r="C22" s="1">
        <v>127200</v>
      </c>
      <c r="D22" s="1">
        <v>0</v>
      </c>
      <c r="E22" s="1">
        <v>0</v>
      </c>
      <c r="F22" s="1">
        <v>127200</v>
      </c>
      <c r="G22" s="1" t="s">
        <v>13</v>
      </c>
      <c r="H22" s="3">
        <f t="shared" si="0"/>
        <v>0</v>
      </c>
      <c r="I22" s="3">
        <f t="shared" si="1"/>
        <v>0</v>
      </c>
    </row>
    <row r="23" spans="1:9" x14ac:dyDescent="0.3">
      <c r="A23" s="1" t="s">
        <v>17</v>
      </c>
      <c r="B23" s="2">
        <v>202303</v>
      </c>
      <c r="C23" s="1">
        <v>261895</v>
      </c>
      <c r="D23" s="1">
        <v>0</v>
      </c>
      <c r="E23" s="1">
        <v>0</v>
      </c>
      <c r="F23" s="1">
        <v>261895</v>
      </c>
      <c r="G23" s="1" t="s">
        <v>18</v>
      </c>
      <c r="H23" s="3">
        <f t="shared" si="0"/>
        <v>0</v>
      </c>
      <c r="I23" s="3">
        <f t="shared" si="1"/>
        <v>0</v>
      </c>
    </row>
    <row r="24" spans="1:9" x14ac:dyDescent="0.3">
      <c r="A24" s="1" t="s">
        <v>12</v>
      </c>
      <c r="B24" s="2">
        <v>202303</v>
      </c>
      <c r="C24" s="1">
        <v>49795</v>
      </c>
      <c r="D24" s="1">
        <v>0</v>
      </c>
      <c r="E24" s="1">
        <v>0</v>
      </c>
      <c r="F24" s="1">
        <v>49795</v>
      </c>
      <c r="G24" s="1" t="s">
        <v>18</v>
      </c>
      <c r="H24" s="3">
        <f t="shared" si="0"/>
        <v>0</v>
      </c>
      <c r="I24" s="3">
        <f t="shared" si="1"/>
        <v>0</v>
      </c>
    </row>
    <row r="25" spans="1:9" x14ac:dyDescent="0.3">
      <c r="A25" s="1" t="s">
        <v>15</v>
      </c>
      <c r="B25" s="2">
        <v>202303</v>
      </c>
      <c r="C25" s="1">
        <v>478740</v>
      </c>
      <c r="D25" s="1">
        <v>0</v>
      </c>
      <c r="E25" s="1">
        <v>0</v>
      </c>
      <c r="F25" s="1">
        <v>478740</v>
      </c>
      <c r="G25" s="1" t="s">
        <v>18</v>
      </c>
      <c r="H25" s="3">
        <f t="shared" si="0"/>
        <v>0</v>
      </c>
      <c r="I25" s="3">
        <f t="shared" si="1"/>
        <v>0</v>
      </c>
    </row>
    <row r="26" spans="1:9" x14ac:dyDescent="0.3">
      <c r="A26" s="1" t="s">
        <v>19</v>
      </c>
      <c r="B26" s="2">
        <v>202303</v>
      </c>
      <c r="C26" s="1">
        <v>1425</v>
      </c>
      <c r="D26" s="1">
        <v>0</v>
      </c>
      <c r="E26" s="1">
        <v>0</v>
      </c>
      <c r="F26" s="1">
        <v>1425</v>
      </c>
      <c r="G26" s="1" t="s">
        <v>18</v>
      </c>
      <c r="H26" s="3">
        <f t="shared" si="0"/>
        <v>0</v>
      </c>
      <c r="I26" s="3">
        <f t="shared" si="1"/>
        <v>0</v>
      </c>
    </row>
    <row r="27" spans="1:9" x14ac:dyDescent="0.3">
      <c r="A27" s="1" t="s">
        <v>17</v>
      </c>
      <c r="B27" s="2">
        <v>202304</v>
      </c>
      <c r="C27" s="1">
        <v>131860</v>
      </c>
      <c r="D27" s="1">
        <v>0</v>
      </c>
      <c r="E27" s="1">
        <v>0</v>
      </c>
      <c r="F27" s="1">
        <v>131860</v>
      </c>
      <c r="G27" s="1" t="s">
        <v>20</v>
      </c>
      <c r="H27" s="3">
        <f t="shared" si="0"/>
        <v>0</v>
      </c>
      <c r="I27" s="3">
        <f t="shared" si="1"/>
        <v>0</v>
      </c>
    </row>
    <row r="28" spans="1:9" x14ac:dyDescent="0.3">
      <c r="A28" s="1" t="s">
        <v>7</v>
      </c>
      <c r="B28" s="2">
        <v>202304</v>
      </c>
      <c r="C28" s="1">
        <v>599850</v>
      </c>
      <c r="D28" s="1">
        <v>0</v>
      </c>
      <c r="E28" s="1">
        <v>0</v>
      </c>
      <c r="F28" s="1">
        <v>599850</v>
      </c>
      <c r="G28" s="1" t="s">
        <v>20</v>
      </c>
      <c r="H28" s="3">
        <f t="shared" si="0"/>
        <v>0</v>
      </c>
      <c r="I28" s="3">
        <f t="shared" si="1"/>
        <v>0</v>
      </c>
    </row>
    <row r="29" spans="1:9" x14ac:dyDescent="0.3">
      <c r="A29" s="1" t="s">
        <v>12</v>
      </c>
      <c r="B29" s="2">
        <v>202304</v>
      </c>
      <c r="C29" s="1">
        <v>205000</v>
      </c>
      <c r="D29" s="1">
        <v>0</v>
      </c>
      <c r="E29" s="1">
        <v>0</v>
      </c>
      <c r="F29" s="1">
        <v>205000</v>
      </c>
      <c r="G29" s="1" t="s">
        <v>20</v>
      </c>
      <c r="H29" s="3">
        <f t="shared" si="0"/>
        <v>0</v>
      </c>
      <c r="I29" s="3">
        <f t="shared" si="1"/>
        <v>0</v>
      </c>
    </row>
    <row r="30" spans="1:9" x14ac:dyDescent="0.3">
      <c r="A30" s="1" t="s">
        <v>7</v>
      </c>
      <c r="B30" s="2">
        <v>202305</v>
      </c>
      <c r="C30" s="1">
        <v>230686</v>
      </c>
      <c r="D30" s="1">
        <v>0</v>
      </c>
      <c r="E30" s="1">
        <v>0</v>
      </c>
      <c r="F30" s="1">
        <v>230686</v>
      </c>
      <c r="G30" s="1" t="s">
        <v>16</v>
      </c>
      <c r="H30" s="3">
        <f t="shared" si="0"/>
        <v>0</v>
      </c>
      <c r="I30" s="3">
        <f t="shared" si="1"/>
        <v>0</v>
      </c>
    </row>
    <row r="31" spans="1:9" x14ac:dyDescent="0.3">
      <c r="A31" s="1" t="s">
        <v>17</v>
      </c>
      <c r="B31" s="2">
        <v>202305</v>
      </c>
      <c r="C31" s="1">
        <v>76910</v>
      </c>
      <c r="D31" s="1">
        <v>0</v>
      </c>
      <c r="E31" s="1">
        <v>0</v>
      </c>
      <c r="F31" s="1">
        <v>76910</v>
      </c>
      <c r="G31" s="1" t="s">
        <v>16</v>
      </c>
      <c r="H31" s="3">
        <f t="shared" si="0"/>
        <v>0</v>
      </c>
      <c r="I31" s="3">
        <f t="shared" si="1"/>
        <v>0</v>
      </c>
    </row>
    <row r="32" spans="1:9" x14ac:dyDescent="0.3">
      <c r="A32" s="1" t="s">
        <v>15</v>
      </c>
      <c r="B32" s="2">
        <v>202305</v>
      </c>
      <c r="C32" s="1">
        <v>306830</v>
      </c>
      <c r="D32" s="1">
        <v>0</v>
      </c>
      <c r="E32" s="1">
        <v>0</v>
      </c>
      <c r="F32" s="1">
        <v>306830</v>
      </c>
      <c r="G32" s="1" t="s">
        <v>16</v>
      </c>
      <c r="H32" s="3">
        <f t="shared" si="0"/>
        <v>0</v>
      </c>
      <c r="I32" s="3">
        <f t="shared" si="1"/>
        <v>0</v>
      </c>
    </row>
    <row r="33" spans="1:9" x14ac:dyDescent="0.3">
      <c r="A33" s="1" t="s">
        <v>12</v>
      </c>
      <c r="B33" s="2">
        <v>202305</v>
      </c>
      <c r="C33" s="1">
        <v>74580</v>
      </c>
      <c r="D33" s="1">
        <v>0</v>
      </c>
      <c r="E33" s="1">
        <v>0</v>
      </c>
      <c r="F33" s="1">
        <v>74580</v>
      </c>
      <c r="G33" s="1" t="s">
        <v>16</v>
      </c>
      <c r="H33" s="3">
        <f t="shared" si="0"/>
        <v>0</v>
      </c>
      <c r="I33" s="3">
        <f t="shared" si="1"/>
        <v>0</v>
      </c>
    </row>
    <row r="34" spans="1:9" x14ac:dyDescent="0.3">
      <c r="A34" s="1" t="s">
        <v>10</v>
      </c>
      <c r="B34" s="2">
        <v>202305</v>
      </c>
      <c r="C34" s="1">
        <v>196925.18</v>
      </c>
      <c r="D34" s="1">
        <v>0</v>
      </c>
      <c r="E34" s="1">
        <v>0</v>
      </c>
      <c r="F34" s="1">
        <v>196925.18</v>
      </c>
      <c r="G34" s="1" t="s">
        <v>16</v>
      </c>
      <c r="H34" s="3">
        <f t="shared" si="0"/>
        <v>0</v>
      </c>
      <c r="I34" s="3">
        <f t="shared" si="1"/>
        <v>0</v>
      </c>
    </row>
    <row r="35" spans="1:9" x14ac:dyDescent="0.3">
      <c r="A35" s="1" t="s">
        <v>15</v>
      </c>
      <c r="B35" s="2">
        <v>202306</v>
      </c>
      <c r="C35" s="1">
        <v>198302.25</v>
      </c>
      <c r="D35" s="1">
        <v>0</v>
      </c>
      <c r="E35" s="1">
        <v>0</v>
      </c>
      <c r="F35" s="1">
        <v>198302.25</v>
      </c>
      <c r="G35" s="1" t="s">
        <v>21</v>
      </c>
      <c r="H35" s="3">
        <f t="shared" si="0"/>
        <v>0</v>
      </c>
      <c r="I35" s="3">
        <f t="shared" si="1"/>
        <v>0</v>
      </c>
    </row>
    <row r="36" spans="1:9" x14ac:dyDescent="0.3">
      <c r="A36" s="1" t="s">
        <v>7</v>
      </c>
      <c r="B36" s="2">
        <v>202306</v>
      </c>
      <c r="C36" s="1">
        <v>417657.59999999998</v>
      </c>
      <c r="D36" s="1">
        <v>0</v>
      </c>
      <c r="E36" s="1">
        <v>0</v>
      </c>
      <c r="F36" s="1">
        <v>417657.59999999998</v>
      </c>
      <c r="G36" s="1" t="s">
        <v>21</v>
      </c>
      <c r="H36" s="3">
        <f t="shared" si="0"/>
        <v>0</v>
      </c>
      <c r="I36" s="3">
        <f t="shared" si="1"/>
        <v>0</v>
      </c>
    </row>
    <row r="37" spans="1:9" x14ac:dyDescent="0.3">
      <c r="A37" s="1" t="s">
        <v>10</v>
      </c>
      <c r="B37" s="2">
        <v>202306</v>
      </c>
      <c r="C37" s="1">
        <v>153540</v>
      </c>
      <c r="D37" s="1">
        <v>94820</v>
      </c>
      <c r="E37" s="1">
        <v>0</v>
      </c>
      <c r="F37" s="1">
        <v>74360</v>
      </c>
      <c r="G37" s="1" t="s">
        <v>21</v>
      </c>
      <c r="H37" s="3">
        <f t="shared" si="0"/>
        <v>0.61755894229516739</v>
      </c>
      <c r="I37" s="3">
        <f t="shared" si="1"/>
        <v>0</v>
      </c>
    </row>
    <row r="38" spans="1:9" x14ac:dyDescent="0.3">
      <c r="A38" s="1" t="s">
        <v>17</v>
      </c>
      <c r="B38" s="2">
        <v>202306</v>
      </c>
      <c r="C38" s="1">
        <v>276495</v>
      </c>
      <c r="D38" s="1">
        <v>0</v>
      </c>
      <c r="E38" s="1">
        <v>0</v>
      </c>
      <c r="F38" s="1">
        <v>276495</v>
      </c>
      <c r="G38" s="1" t="s">
        <v>21</v>
      </c>
      <c r="H38" s="3">
        <f t="shared" si="0"/>
        <v>0</v>
      </c>
      <c r="I38" s="3">
        <f t="shared" si="1"/>
        <v>0</v>
      </c>
    </row>
    <row r="39" spans="1:9" x14ac:dyDescent="0.3">
      <c r="A39" s="1" t="s">
        <v>12</v>
      </c>
      <c r="B39" s="2">
        <v>202306</v>
      </c>
      <c r="C39" s="1">
        <v>523525</v>
      </c>
      <c r="D39" s="1">
        <v>41500</v>
      </c>
      <c r="E39" s="1">
        <v>0</v>
      </c>
      <c r="F39" s="1">
        <v>452000</v>
      </c>
      <c r="G39" s="1" t="s">
        <v>21</v>
      </c>
      <c r="H39" s="3">
        <f t="shared" si="0"/>
        <v>7.9270330929755023E-2</v>
      </c>
      <c r="I39" s="3">
        <f t="shared" si="1"/>
        <v>0</v>
      </c>
    </row>
    <row r="40" spans="1:9" x14ac:dyDescent="0.3">
      <c r="A40" s="1" t="s">
        <v>14</v>
      </c>
      <c r="B40" s="2">
        <v>202306</v>
      </c>
      <c r="C40" s="1">
        <v>0</v>
      </c>
      <c r="D40" s="1">
        <v>0</v>
      </c>
      <c r="E40" s="1">
        <v>0</v>
      </c>
      <c r="F40" s="1">
        <v>0</v>
      </c>
      <c r="G40" s="1" t="s">
        <v>21</v>
      </c>
      <c r="H40" s="3">
        <f t="shared" si="0"/>
        <v>0</v>
      </c>
      <c r="I40" s="3">
        <f t="shared" si="1"/>
        <v>0</v>
      </c>
    </row>
    <row r="41" spans="1:9" x14ac:dyDescent="0.3">
      <c r="A41" s="1" t="s">
        <v>15</v>
      </c>
      <c r="B41" s="2">
        <v>202307</v>
      </c>
      <c r="C41" s="1">
        <v>245888.7</v>
      </c>
      <c r="D41" s="1">
        <v>93513.88</v>
      </c>
      <c r="E41" s="1">
        <v>0</v>
      </c>
      <c r="F41" s="1">
        <v>38632.5</v>
      </c>
      <c r="G41" s="1" t="s">
        <v>22</v>
      </c>
      <c r="H41" s="3">
        <f t="shared" si="0"/>
        <v>0.38030979056784636</v>
      </c>
      <c r="I41" s="3">
        <f t="shared" si="1"/>
        <v>0</v>
      </c>
    </row>
    <row r="42" spans="1:9" x14ac:dyDescent="0.3">
      <c r="A42" s="1" t="s">
        <v>17</v>
      </c>
      <c r="B42" s="2">
        <v>202307</v>
      </c>
      <c r="C42" s="1">
        <v>174525</v>
      </c>
      <c r="D42" s="1">
        <v>53920</v>
      </c>
      <c r="E42" s="1">
        <v>0</v>
      </c>
      <c r="F42" s="1">
        <v>121555</v>
      </c>
      <c r="G42" s="1" t="s">
        <v>22</v>
      </c>
      <c r="H42" s="3">
        <f t="shared" si="0"/>
        <v>0.30895287208136368</v>
      </c>
      <c r="I42" s="3">
        <f t="shared" si="1"/>
        <v>0</v>
      </c>
    </row>
    <row r="43" spans="1:9" x14ac:dyDescent="0.3">
      <c r="A43" s="1" t="s">
        <v>7</v>
      </c>
      <c r="B43" s="2">
        <v>202307</v>
      </c>
      <c r="C43" s="1">
        <v>454500</v>
      </c>
      <c r="D43" s="1">
        <v>135000</v>
      </c>
      <c r="E43" s="1">
        <v>0</v>
      </c>
      <c r="F43" s="1">
        <v>274500</v>
      </c>
      <c r="G43" s="1" t="s">
        <v>22</v>
      </c>
      <c r="H43" s="3">
        <f t="shared" si="0"/>
        <v>0.29702970297029702</v>
      </c>
      <c r="I43" s="3">
        <f t="shared" si="1"/>
        <v>0</v>
      </c>
    </row>
    <row r="44" spans="1:9" x14ac:dyDescent="0.3">
      <c r="A44" s="1" t="s">
        <v>12</v>
      </c>
      <c r="B44" s="2">
        <v>202307</v>
      </c>
      <c r="C44" s="1">
        <v>139642.13</v>
      </c>
      <c r="D44" s="1">
        <v>0</v>
      </c>
      <c r="E44" s="1">
        <v>0</v>
      </c>
      <c r="F44" s="1">
        <v>139642.13</v>
      </c>
      <c r="G44" s="1" t="s">
        <v>22</v>
      </c>
      <c r="H44" s="3">
        <f t="shared" si="0"/>
        <v>0</v>
      </c>
      <c r="I44" s="3">
        <f t="shared" si="1"/>
        <v>0</v>
      </c>
    </row>
    <row r="45" spans="1:9" x14ac:dyDescent="0.3">
      <c r="A45" s="1" t="s">
        <v>14</v>
      </c>
      <c r="B45" s="2">
        <v>202307</v>
      </c>
      <c r="C45" s="1">
        <v>110000</v>
      </c>
      <c r="D45" s="1">
        <v>0</v>
      </c>
      <c r="E45" s="1">
        <v>0</v>
      </c>
      <c r="F45" s="1">
        <v>110000</v>
      </c>
      <c r="G45" s="1" t="s">
        <v>22</v>
      </c>
      <c r="H45" s="3">
        <f t="shared" si="0"/>
        <v>0</v>
      </c>
      <c r="I45" s="3">
        <f t="shared" si="1"/>
        <v>0</v>
      </c>
    </row>
    <row r="46" spans="1:9" x14ac:dyDescent="0.3">
      <c r="A46" s="1" t="s">
        <v>12</v>
      </c>
      <c r="B46" s="2">
        <v>202308</v>
      </c>
      <c r="C46" s="1">
        <v>398551.37</v>
      </c>
      <c r="D46" s="1">
        <v>98690</v>
      </c>
      <c r="E46" s="1">
        <v>0</v>
      </c>
      <c r="F46" s="1">
        <v>329486.37</v>
      </c>
      <c r="G46" s="1" t="s">
        <v>23</v>
      </c>
      <c r="H46" s="3">
        <f t="shared" si="0"/>
        <v>0.24762178085098541</v>
      </c>
      <c r="I46" s="3">
        <f t="shared" si="1"/>
        <v>0</v>
      </c>
    </row>
    <row r="47" spans="1:9" x14ac:dyDescent="0.3">
      <c r="A47" s="1" t="s">
        <v>7</v>
      </c>
      <c r="B47" s="2">
        <v>202308</v>
      </c>
      <c r="C47" s="1">
        <v>987965</v>
      </c>
      <c r="D47" s="1">
        <v>0</v>
      </c>
      <c r="E47" s="1">
        <v>0</v>
      </c>
      <c r="F47" s="1">
        <v>987965</v>
      </c>
      <c r="G47" s="1" t="s">
        <v>23</v>
      </c>
      <c r="H47" s="3">
        <f t="shared" si="0"/>
        <v>0</v>
      </c>
      <c r="I47" s="3">
        <f t="shared" si="1"/>
        <v>0</v>
      </c>
    </row>
    <row r="48" spans="1:9" x14ac:dyDescent="0.3">
      <c r="A48" s="1" t="s">
        <v>17</v>
      </c>
      <c r="B48" s="2">
        <v>202308</v>
      </c>
      <c r="C48" s="1">
        <v>262750</v>
      </c>
      <c r="D48" s="1">
        <v>0</v>
      </c>
      <c r="E48" s="1">
        <v>163359</v>
      </c>
      <c r="F48" s="1">
        <v>262750</v>
      </c>
      <c r="G48" s="1" t="s">
        <v>23</v>
      </c>
      <c r="H48" s="3">
        <f t="shared" si="0"/>
        <v>0</v>
      </c>
      <c r="I48" s="3">
        <f t="shared" si="1"/>
        <v>0.62172787821122744</v>
      </c>
    </row>
    <row r="49" spans="1:9" x14ac:dyDescent="0.3">
      <c r="A49" s="1" t="s">
        <v>14</v>
      </c>
      <c r="B49" s="2">
        <v>202308</v>
      </c>
      <c r="C49" s="1">
        <v>259430</v>
      </c>
      <c r="D49" s="1">
        <v>141435</v>
      </c>
      <c r="E49" s="1">
        <v>0</v>
      </c>
      <c r="F49" s="1">
        <v>121930</v>
      </c>
      <c r="G49" s="1" t="s">
        <v>23</v>
      </c>
      <c r="H49" s="3">
        <f t="shared" si="0"/>
        <v>0.54517596268743018</v>
      </c>
      <c r="I49" s="3">
        <f t="shared" si="1"/>
        <v>0</v>
      </c>
    </row>
    <row r="50" spans="1:9" x14ac:dyDescent="0.3">
      <c r="A50" s="1" t="s">
        <v>10</v>
      </c>
      <c r="B50" s="2">
        <v>202308</v>
      </c>
      <c r="C50" s="1">
        <v>333853.75</v>
      </c>
      <c r="D50" s="1">
        <v>0</v>
      </c>
      <c r="E50" s="1">
        <v>0</v>
      </c>
      <c r="F50" s="1">
        <v>333853.75</v>
      </c>
      <c r="G50" s="1" t="s">
        <v>23</v>
      </c>
      <c r="H50" s="3">
        <f t="shared" si="0"/>
        <v>0</v>
      </c>
      <c r="I50" s="3">
        <f t="shared" si="1"/>
        <v>0</v>
      </c>
    </row>
    <row r="51" spans="1:9" x14ac:dyDescent="0.3">
      <c r="A51" s="1" t="s">
        <v>15</v>
      </c>
      <c r="B51" s="2">
        <v>202308</v>
      </c>
      <c r="C51" s="1">
        <v>74795</v>
      </c>
      <c r="D51" s="1">
        <v>74795</v>
      </c>
      <c r="E51" s="1">
        <v>0</v>
      </c>
      <c r="F51" s="1">
        <v>0</v>
      </c>
      <c r="G51" s="1" t="s">
        <v>23</v>
      </c>
      <c r="H51" s="3">
        <f t="shared" si="0"/>
        <v>1</v>
      </c>
      <c r="I51" s="3">
        <f t="shared" si="1"/>
        <v>0</v>
      </c>
    </row>
    <row r="52" spans="1:9" x14ac:dyDescent="0.3">
      <c r="A52" s="1" t="s">
        <v>17</v>
      </c>
      <c r="B52" s="2">
        <v>202309</v>
      </c>
      <c r="C52" s="1">
        <v>498268.26</v>
      </c>
      <c r="D52" s="1">
        <v>379436.2</v>
      </c>
      <c r="E52" s="1">
        <v>21400</v>
      </c>
      <c r="F52" s="1">
        <v>112728.26</v>
      </c>
      <c r="G52" s="1" t="s">
        <v>24</v>
      </c>
      <c r="H52" s="3">
        <f t="shared" si="0"/>
        <v>0.76150987421916061</v>
      </c>
      <c r="I52" s="3">
        <f t="shared" si="1"/>
        <v>0.18983704707231355</v>
      </c>
    </row>
    <row r="53" spans="1:9" x14ac:dyDescent="0.3">
      <c r="A53" s="1" t="s">
        <v>14</v>
      </c>
      <c r="B53" s="2">
        <v>202309</v>
      </c>
      <c r="C53" s="1">
        <v>986695.7</v>
      </c>
      <c r="D53" s="1">
        <v>1036503.75</v>
      </c>
      <c r="E53" s="1">
        <v>0</v>
      </c>
      <c r="F53" s="1">
        <v>178271.45</v>
      </c>
      <c r="G53" s="1" t="s">
        <v>24</v>
      </c>
      <c r="H53" s="3">
        <f t="shared" si="0"/>
        <v>1.0504796463590549</v>
      </c>
      <c r="I53" s="3">
        <f t="shared" si="1"/>
        <v>0</v>
      </c>
    </row>
    <row r="54" spans="1:9" x14ac:dyDescent="0.3">
      <c r="A54" s="1" t="s">
        <v>12</v>
      </c>
      <c r="B54" s="2">
        <v>202309</v>
      </c>
      <c r="C54" s="1">
        <v>292147.21999999997</v>
      </c>
      <c r="D54" s="1">
        <v>0</v>
      </c>
      <c r="E54" s="1">
        <v>0</v>
      </c>
      <c r="F54" s="1">
        <v>292147.21999999997</v>
      </c>
      <c r="G54" s="1" t="s">
        <v>24</v>
      </c>
      <c r="H54" s="3">
        <f t="shared" si="0"/>
        <v>0</v>
      </c>
      <c r="I54" s="3">
        <f t="shared" si="1"/>
        <v>0</v>
      </c>
    </row>
    <row r="55" spans="1:9" x14ac:dyDescent="0.3">
      <c r="A55" s="1" t="s">
        <v>7</v>
      </c>
      <c r="B55" s="2">
        <v>202309</v>
      </c>
      <c r="C55" s="1">
        <v>210185</v>
      </c>
      <c r="D55" s="1">
        <v>0</v>
      </c>
      <c r="E55" s="1">
        <v>0</v>
      </c>
      <c r="F55" s="1">
        <v>210185</v>
      </c>
      <c r="G55" s="1" t="s">
        <v>24</v>
      </c>
      <c r="H55" s="3">
        <f t="shared" si="0"/>
        <v>0</v>
      </c>
      <c r="I55" s="3">
        <f t="shared" si="1"/>
        <v>0</v>
      </c>
    </row>
    <row r="56" spans="1:9" x14ac:dyDescent="0.3">
      <c r="A56" s="1" t="s">
        <v>10</v>
      </c>
      <c r="B56" s="2">
        <v>202309</v>
      </c>
      <c r="C56" s="1">
        <v>337060.75</v>
      </c>
      <c r="D56" s="1">
        <v>0</v>
      </c>
      <c r="E56" s="1">
        <v>0</v>
      </c>
      <c r="F56" s="1">
        <v>337060.75</v>
      </c>
      <c r="G56" s="1" t="s">
        <v>24</v>
      </c>
      <c r="H56" s="3">
        <f t="shared" si="0"/>
        <v>0</v>
      </c>
      <c r="I56" s="3">
        <f t="shared" si="1"/>
        <v>0</v>
      </c>
    </row>
    <row r="57" spans="1:9" x14ac:dyDescent="0.3">
      <c r="A57" s="1" t="s">
        <v>19</v>
      </c>
      <c r="B57" s="2">
        <v>202310</v>
      </c>
      <c r="C57" s="1">
        <v>85526.47</v>
      </c>
      <c r="D57" s="1">
        <v>87880</v>
      </c>
      <c r="E57" s="1">
        <v>0</v>
      </c>
      <c r="F57" s="1">
        <v>0</v>
      </c>
      <c r="G57" s="1" t="s">
        <v>25</v>
      </c>
      <c r="H57" s="3">
        <f t="shared" si="0"/>
        <v>1.0275181473057404</v>
      </c>
      <c r="I57" s="3">
        <f t="shared" si="1"/>
        <v>0</v>
      </c>
    </row>
    <row r="58" spans="1:9" x14ac:dyDescent="0.3">
      <c r="A58" s="1" t="s">
        <v>7</v>
      </c>
      <c r="B58" s="2">
        <v>202310</v>
      </c>
      <c r="C58" s="1">
        <v>180547.5</v>
      </c>
      <c r="D58" s="1">
        <v>0</v>
      </c>
      <c r="E58" s="1">
        <v>87540</v>
      </c>
      <c r="F58" s="1">
        <v>180547.5</v>
      </c>
      <c r="G58" s="1" t="s">
        <v>25</v>
      </c>
      <c r="H58" s="3">
        <f t="shared" si="0"/>
        <v>0</v>
      </c>
      <c r="I58" s="3">
        <f t="shared" si="1"/>
        <v>0.48485855522784865</v>
      </c>
    </row>
    <row r="59" spans="1:9" x14ac:dyDescent="0.3">
      <c r="A59" s="1" t="s">
        <v>12</v>
      </c>
      <c r="B59" s="2">
        <v>202310</v>
      </c>
      <c r="C59" s="1">
        <v>255700</v>
      </c>
      <c r="D59" s="1">
        <v>69190</v>
      </c>
      <c r="E59" s="1">
        <v>0</v>
      </c>
      <c r="F59" s="1">
        <v>190000</v>
      </c>
      <c r="G59" s="1" t="s">
        <v>25</v>
      </c>
      <c r="H59" s="3">
        <f t="shared" si="0"/>
        <v>0.27059053578412201</v>
      </c>
      <c r="I59" s="3">
        <f t="shared" si="1"/>
        <v>0</v>
      </c>
    </row>
    <row r="60" spans="1:9" x14ac:dyDescent="0.3">
      <c r="A60" s="1" t="s">
        <v>14</v>
      </c>
      <c r="B60" s="2">
        <v>202310</v>
      </c>
      <c r="C60" s="1">
        <v>41315</v>
      </c>
      <c r="D60" s="1">
        <v>0</v>
      </c>
      <c r="E60" s="1">
        <v>0</v>
      </c>
      <c r="F60" s="1">
        <v>41315</v>
      </c>
      <c r="G60" s="1" t="s">
        <v>25</v>
      </c>
      <c r="H60" s="3">
        <f t="shared" si="0"/>
        <v>0</v>
      </c>
      <c r="I60" s="3">
        <f t="shared" si="1"/>
        <v>0</v>
      </c>
    </row>
    <row r="61" spans="1:9" x14ac:dyDescent="0.3">
      <c r="A61" s="1" t="s">
        <v>10</v>
      </c>
      <c r="B61" s="2">
        <v>202311</v>
      </c>
      <c r="C61" s="1">
        <v>50640</v>
      </c>
      <c r="D61" s="1">
        <v>0</v>
      </c>
      <c r="E61" s="1">
        <v>0</v>
      </c>
      <c r="F61" s="1">
        <v>50640</v>
      </c>
      <c r="G61" s="1" t="s">
        <v>26</v>
      </c>
      <c r="H61" s="3">
        <f t="shared" si="0"/>
        <v>0</v>
      </c>
      <c r="I61" s="3">
        <f t="shared" si="1"/>
        <v>0</v>
      </c>
    </row>
    <row r="62" spans="1:9" x14ac:dyDescent="0.3">
      <c r="A62" s="1" t="s">
        <v>19</v>
      </c>
      <c r="B62" s="2">
        <v>202311</v>
      </c>
      <c r="C62" s="1">
        <v>488381.91</v>
      </c>
      <c r="D62" s="1">
        <v>133822.34</v>
      </c>
      <c r="E62" s="1">
        <v>0</v>
      </c>
      <c r="F62" s="1">
        <v>359896.06</v>
      </c>
      <c r="G62" s="1" t="s">
        <v>26</v>
      </c>
      <c r="H62" s="3">
        <f t="shared" si="0"/>
        <v>0.27401166435505364</v>
      </c>
      <c r="I62" s="3">
        <f t="shared" si="1"/>
        <v>0</v>
      </c>
    </row>
    <row r="63" spans="1:9" x14ac:dyDescent="0.3">
      <c r="A63" s="1" t="s">
        <v>14</v>
      </c>
      <c r="B63" s="2">
        <v>202311</v>
      </c>
      <c r="C63" s="1">
        <v>474396</v>
      </c>
      <c r="D63" s="1">
        <v>96795</v>
      </c>
      <c r="E63" s="1">
        <v>45175.5</v>
      </c>
      <c r="F63" s="1">
        <v>194416</v>
      </c>
      <c r="G63" s="1" t="s">
        <v>26</v>
      </c>
      <c r="H63" s="3">
        <f t="shared" si="0"/>
        <v>0.2040383983001543</v>
      </c>
      <c r="I63" s="3">
        <f t="shared" si="1"/>
        <v>0.23236513455682659</v>
      </c>
    </row>
    <row r="64" spans="1:9" x14ac:dyDescent="0.3">
      <c r="A64" s="1" t="s">
        <v>17</v>
      </c>
      <c r="B64" s="2">
        <v>202311</v>
      </c>
      <c r="C64" s="1">
        <v>113060</v>
      </c>
      <c r="D64" s="1">
        <v>67850</v>
      </c>
      <c r="E64" s="1">
        <v>41050</v>
      </c>
      <c r="F64" s="1">
        <v>45205</v>
      </c>
      <c r="G64" s="1" t="s">
        <v>26</v>
      </c>
      <c r="H64" s="3">
        <f t="shared" si="0"/>
        <v>0.60012382805589948</v>
      </c>
      <c r="I64" s="3">
        <f t="shared" si="1"/>
        <v>0.90808538878442646</v>
      </c>
    </row>
    <row r="65" spans="1:9" x14ac:dyDescent="0.3">
      <c r="A65" s="1" t="s">
        <v>12</v>
      </c>
      <c r="B65" s="2">
        <v>202311</v>
      </c>
      <c r="C65" s="1">
        <v>960450</v>
      </c>
      <c r="D65" s="1">
        <v>759775</v>
      </c>
      <c r="E65" s="1">
        <v>0</v>
      </c>
      <c r="F65" s="1">
        <v>103070</v>
      </c>
      <c r="G65" s="1" t="s">
        <v>26</v>
      </c>
      <c r="H65" s="3">
        <f t="shared" si="0"/>
        <v>0.79106148159716805</v>
      </c>
      <c r="I65" s="3">
        <f>IFERROR($E65/$F65,0)</f>
        <v>0</v>
      </c>
    </row>
    <row r="66" spans="1:9" x14ac:dyDescent="0.3">
      <c r="A66" s="1" t="s">
        <v>7</v>
      </c>
      <c r="B66" s="2">
        <v>202311</v>
      </c>
      <c r="C66" s="1">
        <v>169720</v>
      </c>
      <c r="D66" s="1">
        <v>55000</v>
      </c>
      <c r="E66" s="1">
        <v>0</v>
      </c>
      <c r="F66" s="1">
        <v>108720</v>
      </c>
      <c r="G66" s="1" t="s">
        <v>26</v>
      </c>
      <c r="H66" s="3">
        <f t="shared" si="0"/>
        <v>0.32406316285646947</v>
      </c>
      <c r="I66" s="3">
        <f t="shared" si="1"/>
        <v>0</v>
      </c>
    </row>
    <row r="67" spans="1:9" x14ac:dyDescent="0.3">
      <c r="A67" s="1" t="s">
        <v>27</v>
      </c>
      <c r="B67" s="2">
        <v>202311</v>
      </c>
      <c r="C67" s="1">
        <v>98492</v>
      </c>
      <c r="D67" s="1">
        <v>109442.52</v>
      </c>
      <c r="E67" s="1">
        <v>0</v>
      </c>
      <c r="F67" s="1">
        <v>0</v>
      </c>
      <c r="G67" s="1" t="s">
        <v>26</v>
      </c>
      <c r="H67" s="3">
        <f t="shared" ref="H67:H75" si="2">IFERROR($D67/$C67,0)</f>
        <v>1.1111818218738578</v>
      </c>
      <c r="I67" s="3">
        <f t="shared" ref="I67:I75" si="3">IFERROR($E67/$F67,0)</f>
        <v>0</v>
      </c>
    </row>
    <row r="68" spans="1:9" x14ac:dyDescent="0.3">
      <c r="A68" s="1" t="s">
        <v>12</v>
      </c>
      <c r="B68" s="2">
        <v>202312</v>
      </c>
      <c r="C68" s="1">
        <v>1077582.1599999999</v>
      </c>
      <c r="D68" s="1">
        <v>434718</v>
      </c>
      <c r="E68" s="1">
        <v>0</v>
      </c>
      <c r="F68" s="1">
        <v>542016.21</v>
      </c>
      <c r="G68" s="1" t="s">
        <v>28</v>
      </c>
      <c r="H68" s="3">
        <f t="shared" si="2"/>
        <v>0.40341981905119889</v>
      </c>
      <c r="I68" s="3">
        <f t="shared" si="3"/>
        <v>0</v>
      </c>
    </row>
    <row r="69" spans="1:9" x14ac:dyDescent="0.3">
      <c r="A69" s="1" t="s">
        <v>19</v>
      </c>
      <c r="B69" s="2">
        <v>202312</v>
      </c>
      <c r="C69" s="1">
        <v>355820.11</v>
      </c>
      <c r="D69" s="1">
        <v>279507</v>
      </c>
      <c r="E69" s="1">
        <v>0</v>
      </c>
      <c r="F69" s="1">
        <v>95850</v>
      </c>
      <c r="G69" s="1" t="s">
        <v>28</v>
      </c>
      <c r="H69" s="3">
        <f t="shared" si="2"/>
        <v>0.78552895731497585</v>
      </c>
      <c r="I69" s="3">
        <f t="shared" si="3"/>
        <v>0</v>
      </c>
    </row>
    <row r="70" spans="1:9" x14ac:dyDescent="0.3">
      <c r="A70" s="1" t="s">
        <v>10</v>
      </c>
      <c r="B70" s="2">
        <v>202312</v>
      </c>
      <c r="C70" s="1">
        <v>320030</v>
      </c>
      <c r="D70" s="1">
        <v>210558.46</v>
      </c>
      <c r="E70" s="1">
        <v>136730</v>
      </c>
      <c r="F70" s="1">
        <v>132410</v>
      </c>
      <c r="G70" s="1" t="s">
        <v>28</v>
      </c>
      <c r="H70" s="3">
        <f t="shared" si="2"/>
        <v>0.65793350623379054</v>
      </c>
      <c r="I70" s="3">
        <f t="shared" si="3"/>
        <v>1.0326259345970847</v>
      </c>
    </row>
    <row r="71" spans="1:9" x14ac:dyDescent="0.3">
      <c r="A71" s="1" t="s">
        <v>7</v>
      </c>
      <c r="B71" s="2">
        <v>202312</v>
      </c>
      <c r="C71" s="1">
        <v>2751296.96</v>
      </c>
      <c r="D71" s="1">
        <v>1362962.33</v>
      </c>
      <c r="E71" s="1">
        <v>156550</v>
      </c>
      <c r="F71" s="1">
        <v>1278796</v>
      </c>
      <c r="G71" s="1" t="s">
        <v>28</v>
      </c>
      <c r="H71" s="3">
        <f t="shared" si="2"/>
        <v>0.49538902917989636</v>
      </c>
      <c r="I71" s="3">
        <f t="shared" si="3"/>
        <v>0.12241983866074026</v>
      </c>
    </row>
    <row r="72" spans="1:9" x14ac:dyDescent="0.3">
      <c r="A72" s="1" t="s">
        <v>29</v>
      </c>
      <c r="B72" s="2">
        <v>202312</v>
      </c>
      <c r="C72" s="1">
        <v>50250</v>
      </c>
      <c r="D72" s="1">
        <v>0</v>
      </c>
      <c r="E72" s="1">
        <v>0</v>
      </c>
      <c r="F72" s="1">
        <v>50250</v>
      </c>
      <c r="G72" s="1" t="s">
        <v>28</v>
      </c>
      <c r="H72" s="3">
        <f t="shared" si="2"/>
        <v>0</v>
      </c>
      <c r="I72" s="3">
        <f t="shared" si="3"/>
        <v>0</v>
      </c>
    </row>
    <row r="73" spans="1:9" x14ac:dyDescent="0.3">
      <c r="A73" s="1" t="s">
        <v>14</v>
      </c>
      <c r="B73" s="2">
        <v>202312</v>
      </c>
      <c r="C73" s="1">
        <v>1404408.8</v>
      </c>
      <c r="D73" s="1">
        <v>571701.80000000005</v>
      </c>
      <c r="E73" s="1">
        <v>163350</v>
      </c>
      <c r="F73" s="1">
        <v>746037.5</v>
      </c>
      <c r="G73" s="1" t="s">
        <v>28</v>
      </c>
      <c r="H73" s="3">
        <f t="shared" si="2"/>
        <v>0.40707648656146272</v>
      </c>
      <c r="I73" s="3">
        <f t="shared" si="3"/>
        <v>0.21895682187557597</v>
      </c>
    </row>
    <row r="74" spans="1:9" x14ac:dyDescent="0.3">
      <c r="A74" s="1" t="s">
        <v>17</v>
      </c>
      <c r="B74" s="2">
        <v>202312</v>
      </c>
      <c r="C74" s="1">
        <v>1628143.82</v>
      </c>
      <c r="D74" s="1">
        <v>671755</v>
      </c>
      <c r="E74" s="1">
        <v>0</v>
      </c>
      <c r="F74" s="1">
        <v>791546.22</v>
      </c>
      <c r="G74" s="1" t="s">
        <v>28</v>
      </c>
      <c r="H74" s="3">
        <f t="shared" si="2"/>
        <v>0.41258947259339779</v>
      </c>
      <c r="I74" s="3">
        <f t="shared" si="3"/>
        <v>0</v>
      </c>
    </row>
    <row r="75" spans="1:9" x14ac:dyDescent="0.3">
      <c r="A75" s="1" t="s">
        <v>30</v>
      </c>
      <c r="B75" s="2">
        <v>202312</v>
      </c>
      <c r="C75" s="1">
        <v>0</v>
      </c>
      <c r="D75" s="1">
        <v>0</v>
      </c>
      <c r="E75" s="1">
        <v>0</v>
      </c>
      <c r="F75" s="1">
        <v>0</v>
      </c>
      <c r="G75" s="1" t="s">
        <v>28</v>
      </c>
      <c r="H75" s="3">
        <f t="shared" si="2"/>
        <v>0</v>
      </c>
      <c r="I75" s="3">
        <f t="shared" si="3"/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Весь отдел</vt:lpstr>
      <vt:lpstr>Менеджеры за год</vt:lpstr>
      <vt:lpstr>Менеджеры по месяцам</vt:lpstr>
      <vt:lpstr>Данные для расчетов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2026-06-10T10:52:49Z</dcterms:created>
  <dcterms:modified xsi:type="dcterms:W3CDTF">2026-06-29T12:50:45Z</dcterms:modified>
</cp:coreProperties>
</file>